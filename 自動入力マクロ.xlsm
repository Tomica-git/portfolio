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omica/Downloads/"/>
    </mc:Choice>
  </mc:AlternateContent>
  <xr:revisionPtr revIDLastSave="0" documentId="13_ncr:1_{8345DD96-5089-1B46-8CBB-3E943CAB706E}" xr6:coauthVersionLast="47" xr6:coauthVersionMax="47" xr10:uidLastSave="{00000000-0000-0000-0000-000000000000}"/>
  <bookViews>
    <workbookView xWindow="0" yWindow="500" windowWidth="33880" windowHeight="18600" activeTab="3" xr2:uid="{00000000-000D-0000-FFFF-FFFF00000000}"/>
  </bookViews>
  <sheets>
    <sheet name="操作" sheetId="1" r:id="rId1"/>
    <sheet name="filelist" sheetId="2" r:id="rId2"/>
    <sheet name="貼り付け場所変換" sheetId="3" r:id="rId3"/>
    <sheet name="まとめDB" sheetId="4" r:id="rId4"/>
  </sheets>
  <definedNames>
    <definedName name="_xlnm._FilterDatabase" localSheetId="3" hidden="1">まとめDB!$A$1:$F$451</definedName>
    <definedName name="_xlnm._FilterDatabase" localSheetId="2" hidden="1">貼り付け場所変換!$A$1:$G$6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3" l="1"/>
  <c r="F21" i="3"/>
  <c r="E21" i="3"/>
  <c r="D21" i="3"/>
  <c r="C21" i="3"/>
  <c r="B21" i="3"/>
  <c r="H21" i="3" s="1"/>
  <c r="G20" i="3"/>
  <c r="F20" i="3"/>
  <c r="E20" i="3"/>
  <c r="D20" i="3"/>
  <c r="C20" i="3"/>
  <c r="B20" i="3"/>
  <c r="H20" i="3" s="1"/>
  <c r="G19" i="3"/>
  <c r="F19" i="3"/>
  <c r="E19" i="3"/>
  <c r="D19" i="3"/>
  <c r="C19" i="3"/>
  <c r="B19" i="3"/>
  <c r="H19" i="3" s="1"/>
  <c r="G18" i="3"/>
  <c r="F18" i="3"/>
  <c r="E18" i="3"/>
  <c r="D18" i="3"/>
  <c r="C18" i="3"/>
  <c r="B18" i="3"/>
  <c r="H18" i="3" s="1"/>
  <c r="G17" i="3"/>
  <c r="F17" i="3"/>
  <c r="E17" i="3"/>
  <c r="D17" i="3"/>
  <c r="C17" i="3"/>
  <c r="B17" i="3"/>
  <c r="H17" i="3" s="1"/>
  <c r="G16" i="3"/>
  <c r="F16" i="3"/>
  <c r="E16" i="3"/>
  <c r="D16" i="3"/>
  <c r="C16" i="3"/>
  <c r="B16" i="3"/>
  <c r="H16" i="3" s="1"/>
  <c r="G15" i="3"/>
  <c r="F15" i="3"/>
  <c r="E15" i="3"/>
  <c r="D15" i="3"/>
  <c r="C15" i="3"/>
  <c r="B15" i="3"/>
  <c r="H15" i="3" s="1"/>
  <c r="G14" i="3"/>
  <c r="F14" i="3"/>
  <c r="E14" i="3"/>
  <c r="D14" i="3"/>
  <c r="C14" i="3"/>
  <c r="B14" i="3"/>
  <c r="H14" i="3" s="1"/>
  <c r="G13" i="3"/>
  <c r="F13" i="3"/>
  <c r="E13" i="3"/>
  <c r="D13" i="3"/>
  <c r="C13" i="3"/>
  <c r="B13" i="3"/>
  <c r="H13" i="3" s="1"/>
  <c r="G12" i="3"/>
  <c r="F12" i="3"/>
  <c r="E12" i="3"/>
  <c r="D12" i="3"/>
  <c r="C12" i="3"/>
  <c r="B12" i="3"/>
  <c r="H12" i="3" s="1"/>
  <c r="G11" i="3"/>
  <c r="F11" i="3"/>
  <c r="E11" i="3"/>
  <c r="D11" i="3"/>
  <c r="C11" i="3"/>
  <c r="B11" i="3"/>
  <c r="H11" i="3" s="1"/>
  <c r="G10" i="3"/>
  <c r="F10" i="3"/>
  <c r="E10" i="3"/>
  <c r="D10" i="3"/>
  <c r="C10" i="3"/>
  <c r="B10" i="3"/>
  <c r="H10" i="3" s="1"/>
  <c r="G9" i="3"/>
  <c r="F9" i="3"/>
  <c r="E9" i="3"/>
  <c r="D9" i="3"/>
  <c r="C9" i="3"/>
  <c r="B9" i="3"/>
  <c r="H9" i="3" s="1"/>
  <c r="G8" i="3"/>
  <c r="F8" i="3"/>
  <c r="E8" i="3"/>
  <c r="D8" i="3"/>
  <c r="C8" i="3"/>
  <c r="B8" i="3"/>
  <c r="H8" i="3" s="1"/>
  <c r="G7" i="3"/>
  <c r="F7" i="3"/>
  <c r="E7" i="3"/>
  <c r="D7" i="3"/>
  <c r="C7" i="3"/>
  <c r="B7" i="3"/>
  <c r="H7" i="3" s="1"/>
  <c r="G6" i="3"/>
  <c r="F6" i="3"/>
  <c r="E6" i="3"/>
  <c r="D6" i="3"/>
  <c r="C6" i="3"/>
  <c r="B6" i="3"/>
  <c r="H6" i="3" s="1"/>
  <c r="G5" i="3"/>
  <c r="F5" i="3"/>
  <c r="E5" i="3"/>
  <c r="D5" i="3"/>
  <c r="C5" i="3"/>
  <c r="B5" i="3"/>
  <c r="H5" i="3" s="1"/>
  <c r="G4" i="3"/>
  <c r="F4" i="3"/>
  <c r="E4" i="3"/>
  <c r="D4" i="3"/>
  <c r="C4" i="3"/>
  <c r="B4" i="3"/>
  <c r="H4" i="3" s="1"/>
  <c r="G3" i="3"/>
  <c r="F3" i="3"/>
  <c r="E3" i="3"/>
  <c r="D3" i="3"/>
  <c r="C3" i="3"/>
  <c r="B3" i="3"/>
  <c r="H3" i="3" s="1"/>
  <c r="G2" i="3"/>
  <c r="F2" i="3"/>
  <c r="E2" i="3"/>
  <c r="D2" i="3"/>
  <c r="C2" i="3"/>
  <c r="B2" i="3"/>
  <c r="H2" i="3" s="1"/>
  <c r="E6" i="4" l="1"/>
  <c r="F9" i="4"/>
  <c r="F12" i="4"/>
  <c r="F15" i="4"/>
  <c r="F17" i="4"/>
  <c r="F19" i="4"/>
  <c r="F22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E38" i="4"/>
  <c r="F38" i="4"/>
  <c r="E39" i="4"/>
  <c r="F39" i="4"/>
  <c r="E40" i="4"/>
  <c r="F40" i="4"/>
  <c r="E41" i="4"/>
  <c r="F41" i="4"/>
  <c r="E42" i="4"/>
  <c r="F42" i="4"/>
  <c r="E43" i="4"/>
  <c r="F43" i="4"/>
  <c r="E44" i="4"/>
  <c r="F44" i="4"/>
  <c r="E45" i="4"/>
  <c r="F45" i="4"/>
  <c r="E46" i="4"/>
  <c r="F46" i="4"/>
  <c r="E47" i="4"/>
  <c r="F47" i="4"/>
  <c r="E48" i="4"/>
  <c r="F48" i="4"/>
  <c r="E49" i="4"/>
  <c r="F49" i="4"/>
  <c r="E50" i="4"/>
  <c r="F50" i="4"/>
  <c r="E51" i="4"/>
  <c r="F51" i="4"/>
  <c r="E52" i="4"/>
  <c r="F52" i="4"/>
  <c r="F53" i="4"/>
  <c r="F54" i="4"/>
  <c r="F55" i="4"/>
  <c r="F56" i="4"/>
  <c r="F57" i="4"/>
  <c r="F58" i="4"/>
  <c r="E59" i="4"/>
  <c r="E60" i="4"/>
  <c r="E61" i="4"/>
  <c r="E62" i="4"/>
  <c r="E63" i="4"/>
  <c r="E64" i="4"/>
  <c r="F65" i="4"/>
  <c r="F66" i="4"/>
  <c r="F67" i="4"/>
  <c r="F68" i="4"/>
  <c r="F69" i="4"/>
  <c r="F70" i="4"/>
  <c r="F71" i="4"/>
  <c r="E73" i="4"/>
  <c r="E76" i="4"/>
  <c r="E53" i="4"/>
  <c r="E54" i="4"/>
  <c r="E55" i="4"/>
  <c r="E56" i="4"/>
  <c r="E57" i="4"/>
  <c r="E58" i="4"/>
  <c r="F59" i="4"/>
  <c r="F60" i="4"/>
  <c r="F61" i="4"/>
  <c r="F62" i="4"/>
  <c r="F63" i="4"/>
  <c r="F64" i="4"/>
  <c r="E65" i="4"/>
  <c r="E66" i="4"/>
  <c r="E67" i="4"/>
  <c r="E68" i="4"/>
  <c r="E69" i="4"/>
  <c r="E70" i="4"/>
  <c r="E71" i="4"/>
  <c r="E72" i="4"/>
  <c r="F72" i="4"/>
  <c r="F73" i="4"/>
  <c r="E74" i="4"/>
  <c r="F74" i="4"/>
  <c r="E75" i="4"/>
  <c r="F75" i="4"/>
  <c r="F76" i="4"/>
  <c r="E77" i="4"/>
  <c r="F77" i="4"/>
  <c r="E78" i="4"/>
  <c r="F78" i="4"/>
  <c r="E79" i="4"/>
  <c r="F79" i="4"/>
  <c r="E80" i="4"/>
  <c r="F80" i="4"/>
  <c r="E81" i="4"/>
  <c r="F81" i="4"/>
  <c r="E82" i="4"/>
  <c r="F82" i="4"/>
  <c r="E83" i="4"/>
  <c r="F83" i="4"/>
  <c r="E84" i="4"/>
  <c r="F84" i="4"/>
  <c r="E85" i="4"/>
  <c r="F85" i="4"/>
  <c r="E86" i="4"/>
  <c r="F86" i="4"/>
  <c r="E87" i="4"/>
  <c r="F87" i="4"/>
  <c r="E88" i="4"/>
  <c r="F88" i="4"/>
  <c r="E89" i="4"/>
  <c r="F89" i="4"/>
  <c r="E90" i="4"/>
  <c r="F90" i="4"/>
  <c r="E91" i="4"/>
  <c r="F91" i="4"/>
  <c r="E92" i="4"/>
  <c r="F92" i="4"/>
  <c r="E93" i="4"/>
  <c r="F93" i="4"/>
  <c r="E94" i="4"/>
  <c r="F94" i="4"/>
  <c r="E95" i="4"/>
  <c r="F95" i="4"/>
  <c r="E96" i="4"/>
  <c r="F96" i="4"/>
  <c r="E97" i="4"/>
  <c r="F97" i="4"/>
  <c r="E98" i="4"/>
  <c r="F98" i="4"/>
  <c r="E99" i="4"/>
  <c r="F99" i="4"/>
  <c r="E100" i="4"/>
  <c r="F100" i="4"/>
  <c r="E101" i="4"/>
  <c r="F101" i="4"/>
  <c r="E102" i="4"/>
  <c r="F102" i="4"/>
  <c r="E103" i="4"/>
  <c r="F103" i="4"/>
  <c r="E104" i="4"/>
  <c r="F104" i="4"/>
  <c r="E105" i="4"/>
  <c r="F105" i="4"/>
  <c r="E106" i="4"/>
  <c r="F106" i="4"/>
  <c r="E107" i="4"/>
  <c r="F107" i="4"/>
  <c r="E108" i="4"/>
  <c r="F108" i="4"/>
  <c r="E109" i="4"/>
  <c r="F109" i="4"/>
  <c r="E110" i="4"/>
  <c r="F110" i="4"/>
  <c r="E111" i="4"/>
  <c r="F111" i="4"/>
  <c r="E112" i="4"/>
  <c r="F112" i="4"/>
  <c r="E113" i="4"/>
  <c r="F113" i="4"/>
  <c r="E114" i="4"/>
  <c r="F114" i="4"/>
  <c r="E115" i="4"/>
  <c r="F115" i="4"/>
  <c r="E116" i="4"/>
  <c r="F116" i="4"/>
  <c r="E117" i="4"/>
  <c r="F117" i="4"/>
  <c r="E118" i="4"/>
  <c r="F118" i="4"/>
  <c r="E119" i="4"/>
  <c r="F119" i="4"/>
  <c r="E120" i="4"/>
  <c r="F120" i="4"/>
  <c r="E121" i="4"/>
  <c r="F121" i="4"/>
  <c r="E122" i="4"/>
  <c r="F122" i="4"/>
  <c r="E123" i="4"/>
  <c r="F123" i="4"/>
  <c r="E124" i="4"/>
  <c r="F124" i="4"/>
  <c r="E125" i="4"/>
  <c r="F125" i="4"/>
  <c r="E126" i="4"/>
  <c r="F126" i="4"/>
  <c r="E127" i="4"/>
  <c r="F127" i="4"/>
  <c r="E128" i="4"/>
  <c r="F128" i="4"/>
  <c r="E129" i="4"/>
  <c r="F129" i="4"/>
  <c r="E130" i="4"/>
  <c r="F130" i="4"/>
  <c r="E131" i="4"/>
  <c r="F131" i="4"/>
  <c r="E132" i="4"/>
  <c r="F132" i="4"/>
  <c r="E133" i="4"/>
  <c r="F133" i="4"/>
  <c r="E134" i="4"/>
  <c r="F134" i="4"/>
  <c r="E135" i="4"/>
  <c r="F135" i="4"/>
  <c r="E136" i="4"/>
  <c r="F136" i="4"/>
  <c r="E137" i="4"/>
  <c r="F137" i="4"/>
  <c r="E138" i="4"/>
  <c r="F138" i="4"/>
  <c r="E139" i="4"/>
  <c r="F139" i="4"/>
  <c r="E140" i="4"/>
  <c r="F140" i="4"/>
  <c r="E141" i="4"/>
  <c r="F141" i="4"/>
  <c r="E142" i="4"/>
  <c r="F142" i="4"/>
  <c r="E143" i="4"/>
  <c r="F143" i="4"/>
  <c r="E144" i="4"/>
  <c r="F144" i="4"/>
  <c r="E145" i="4"/>
  <c r="F145" i="4"/>
  <c r="E146" i="4"/>
  <c r="F146" i="4"/>
  <c r="E147" i="4"/>
  <c r="F147" i="4"/>
  <c r="E148" i="4"/>
  <c r="F148" i="4"/>
  <c r="F4" i="4"/>
  <c r="F7" i="4"/>
  <c r="E11" i="4"/>
  <c r="E14" i="4"/>
  <c r="E18" i="4"/>
  <c r="F21" i="4"/>
  <c r="F149" i="4"/>
  <c r="F152" i="4"/>
  <c r="F155" i="4"/>
  <c r="F158" i="4"/>
  <c r="E162" i="4"/>
  <c r="E164" i="4"/>
  <c r="F166" i="4"/>
  <c r="E169" i="4"/>
  <c r="F171" i="4"/>
  <c r="F173" i="4"/>
  <c r="E174" i="4"/>
  <c r="F174" i="4"/>
  <c r="E175" i="4"/>
  <c r="F175" i="4"/>
  <c r="E176" i="4"/>
  <c r="F176" i="4"/>
  <c r="E177" i="4"/>
  <c r="F177" i="4"/>
  <c r="E178" i="4"/>
  <c r="F178" i="4"/>
  <c r="E179" i="4"/>
  <c r="F179" i="4"/>
  <c r="E180" i="4"/>
  <c r="F180" i="4"/>
  <c r="E181" i="4"/>
  <c r="F181" i="4"/>
  <c r="E182" i="4"/>
  <c r="F182" i="4"/>
  <c r="E183" i="4"/>
  <c r="F183" i="4"/>
  <c r="E184" i="4"/>
  <c r="F184" i="4"/>
  <c r="E185" i="4"/>
  <c r="F185" i="4"/>
  <c r="E186" i="4"/>
  <c r="F186" i="4"/>
  <c r="E187" i="4"/>
  <c r="F187" i="4"/>
  <c r="E188" i="4"/>
  <c r="F188" i="4"/>
  <c r="E189" i="4"/>
  <c r="F189" i="4"/>
  <c r="E190" i="4"/>
  <c r="F190" i="4"/>
  <c r="E191" i="4"/>
  <c r="F191" i="4"/>
  <c r="E3" i="4"/>
  <c r="F6" i="4"/>
  <c r="E10" i="4"/>
  <c r="F14" i="4"/>
  <c r="E19" i="4"/>
  <c r="E23" i="4"/>
  <c r="E151" i="4"/>
  <c r="E155" i="4"/>
  <c r="E158" i="4"/>
  <c r="E161" i="4"/>
  <c r="E165" i="4"/>
  <c r="E168" i="4"/>
  <c r="E172" i="4"/>
  <c r="E194" i="4"/>
  <c r="E197" i="4"/>
  <c r="F199" i="4"/>
  <c r="E202" i="4"/>
  <c r="F204" i="4"/>
  <c r="E208" i="4"/>
  <c r="F210" i="4"/>
  <c r="F212" i="4"/>
  <c r="E215" i="4"/>
  <c r="F217" i="4"/>
  <c r="E221" i="4"/>
  <c r="E222" i="4"/>
  <c r="F222" i="4"/>
  <c r="E223" i="4"/>
  <c r="F223" i="4"/>
  <c r="E224" i="4"/>
  <c r="F224" i="4"/>
  <c r="E225" i="4"/>
  <c r="F225" i="4"/>
  <c r="E226" i="4"/>
  <c r="F226" i="4"/>
  <c r="E227" i="4"/>
  <c r="F227" i="4"/>
  <c r="E228" i="4"/>
  <c r="F228" i="4"/>
  <c r="E229" i="4"/>
  <c r="F229" i="4"/>
  <c r="E230" i="4"/>
  <c r="F230" i="4"/>
  <c r="E231" i="4"/>
  <c r="F231" i="4"/>
  <c r="E232" i="4"/>
  <c r="F232" i="4"/>
  <c r="E233" i="4"/>
  <c r="F233" i="4"/>
  <c r="E234" i="4"/>
  <c r="F234" i="4"/>
  <c r="E235" i="4"/>
  <c r="F2" i="4"/>
  <c r="E5" i="4"/>
  <c r="F8" i="4"/>
  <c r="E12" i="4"/>
  <c r="F16" i="4"/>
  <c r="F20" i="4"/>
  <c r="E149" i="4"/>
  <c r="E152" i="4"/>
  <c r="F154" i="4"/>
  <c r="E157" i="4"/>
  <c r="E160" i="4"/>
  <c r="E163" i="4"/>
  <c r="E166" i="4"/>
  <c r="F169" i="4"/>
  <c r="F172" i="4"/>
  <c r="E193" i="4"/>
  <c r="F195" i="4"/>
  <c r="E198" i="4"/>
  <c r="F200" i="4"/>
  <c r="F203" i="4"/>
  <c r="E206" i="4"/>
  <c r="F208" i="4"/>
  <c r="E211" i="4"/>
  <c r="E213" i="4"/>
  <c r="F215" i="4"/>
  <c r="F218" i="4"/>
  <c r="E220" i="4"/>
  <c r="E236" i="4"/>
  <c r="E238" i="4"/>
  <c r="F240" i="4"/>
  <c r="F242" i="4"/>
  <c r="F244" i="4"/>
  <c r="F246" i="4"/>
  <c r="F248" i="4"/>
  <c r="E250" i="4"/>
  <c r="E252" i="4"/>
  <c r="E254" i="4"/>
  <c r="F255" i="4"/>
  <c r="F257" i="4"/>
  <c r="F259" i="4"/>
  <c r="F261" i="4"/>
  <c r="F262" i="4"/>
  <c r="F264" i="4"/>
  <c r="F267" i="4"/>
  <c r="F269" i="4"/>
  <c r="F271" i="4"/>
  <c r="E274" i="4"/>
  <c r="E275" i="4"/>
  <c r="F275" i="4"/>
  <c r="E276" i="4"/>
  <c r="F276" i="4"/>
  <c r="E277" i="4"/>
  <c r="F277" i="4"/>
  <c r="E278" i="4"/>
  <c r="F278" i="4"/>
  <c r="F3" i="4"/>
  <c r="E7" i="4"/>
  <c r="F10" i="4"/>
  <c r="F13" i="4"/>
  <c r="E17" i="4"/>
  <c r="E21" i="4"/>
  <c r="F150" i="4"/>
  <c r="E153" i="4"/>
  <c r="E156" i="4"/>
  <c r="E159" i="4"/>
  <c r="F161" i="4"/>
  <c r="F164" i="4"/>
  <c r="F167" i="4"/>
  <c r="E170" i="4"/>
  <c r="E173" i="4"/>
  <c r="F193" i="4"/>
  <c r="E196" i="4"/>
  <c r="F198" i="4"/>
  <c r="E201" i="4"/>
  <c r="E203" i="4"/>
  <c r="F205" i="4"/>
  <c r="F207" i="4"/>
  <c r="E210" i="4"/>
  <c r="F213" i="4"/>
  <c r="E216" i="4"/>
  <c r="E218" i="4"/>
  <c r="F220" i="4"/>
  <c r="F236" i="4"/>
  <c r="F238" i="4"/>
  <c r="E240" i="4"/>
  <c r="E242" i="4"/>
  <c r="E244" i="4"/>
  <c r="E246" i="4"/>
  <c r="E248" i="4"/>
  <c r="F250" i="4"/>
  <c r="F252" i="4"/>
  <c r="F254" i="4"/>
  <c r="F256" i="4"/>
  <c r="F258" i="4"/>
  <c r="F260" i="4"/>
  <c r="E262" i="4"/>
  <c r="F263" i="4"/>
  <c r="F265" i="4"/>
  <c r="E267" i="4"/>
  <c r="E270" i="4"/>
  <c r="E272" i="4"/>
  <c r="F273" i="4"/>
  <c r="F279" i="4"/>
  <c r="E281" i="4"/>
  <c r="E283" i="4"/>
  <c r="F284" i="4"/>
  <c r="F286" i="4"/>
  <c r="E288" i="4"/>
  <c r="E290" i="4"/>
  <c r="F291" i="4"/>
  <c r="E295" i="4"/>
  <c r="F298" i="4"/>
  <c r="E302" i="4"/>
  <c r="E306" i="4"/>
  <c r="E310" i="4"/>
  <c r="E317" i="4"/>
  <c r="F321" i="4"/>
  <c r="E2" i="4"/>
  <c r="E4" i="4"/>
  <c r="F5" i="4"/>
  <c r="E8" i="4"/>
  <c r="E9" i="4"/>
  <c r="F11" i="4"/>
  <c r="E13" i="4"/>
  <c r="E15" i="4"/>
  <c r="E16" i="4"/>
  <c r="F18" i="4"/>
  <c r="E20" i="4"/>
  <c r="E22" i="4"/>
  <c r="F23" i="4"/>
  <c r="E150" i="4"/>
  <c r="F151" i="4"/>
  <c r="F153" i="4"/>
  <c r="E154" i="4"/>
  <c r="F156" i="4"/>
  <c r="F157" i="4"/>
  <c r="F159" i="4"/>
  <c r="F160" i="4"/>
  <c r="F162" i="4"/>
  <c r="F163" i="4"/>
  <c r="F165" i="4"/>
  <c r="E167" i="4"/>
  <c r="F168" i="4"/>
  <c r="F170" i="4"/>
  <c r="E171" i="4"/>
  <c r="E192" i="4"/>
  <c r="F192" i="4"/>
  <c r="F194" i="4"/>
  <c r="E195" i="4"/>
  <c r="F196" i="4"/>
  <c r="F197" i="4"/>
  <c r="E199" i="4"/>
  <c r="E200" i="4"/>
  <c r="F201" i="4"/>
  <c r="F202" i="4"/>
  <c r="E204" i="4"/>
  <c r="E205" i="4"/>
  <c r="F206" i="4"/>
  <c r="E207" i="4"/>
  <c r="E209" i="4"/>
  <c r="F209" i="4"/>
  <c r="F211" i="4"/>
  <c r="E212" i="4"/>
  <c r="E214" i="4"/>
  <c r="F214" i="4"/>
  <c r="F216" i="4"/>
  <c r="E217" i="4"/>
  <c r="E219" i="4"/>
  <c r="F219" i="4"/>
  <c r="F221" i="4"/>
  <c r="F235" i="4"/>
  <c r="E237" i="4"/>
  <c r="F237" i="4"/>
  <c r="E239" i="4"/>
  <c r="F239" i="4"/>
  <c r="E241" i="4"/>
  <c r="F241" i="4"/>
  <c r="E243" i="4"/>
  <c r="F243" i="4"/>
  <c r="E245" i="4"/>
  <c r="F245" i="4"/>
  <c r="E247" i="4"/>
  <c r="F247" i="4"/>
  <c r="E249" i="4"/>
  <c r="F249" i="4"/>
  <c r="E251" i="4"/>
  <c r="F251" i="4"/>
  <c r="E253" i="4"/>
  <c r="F253" i="4"/>
  <c r="E255" i="4"/>
  <c r="E256" i="4"/>
  <c r="E257" i="4"/>
  <c r="E258" i="4"/>
  <c r="E259" i="4"/>
  <c r="E260" i="4"/>
  <c r="E261" i="4"/>
  <c r="E263" i="4"/>
  <c r="E264" i="4"/>
  <c r="E265" i="4"/>
  <c r="E266" i="4"/>
  <c r="F266" i="4"/>
  <c r="E268" i="4"/>
  <c r="F268" i="4"/>
  <c r="E269" i="4"/>
  <c r="F270" i="4"/>
  <c r="E271" i="4"/>
  <c r="F272" i="4"/>
  <c r="E273" i="4"/>
  <c r="F274" i="4"/>
  <c r="E279" i="4"/>
  <c r="E280" i="4"/>
  <c r="F280" i="4"/>
  <c r="F281" i="4"/>
  <c r="E282" i="4"/>
  <c r="F282" i="4"/>
  <c r="F283" i="4"/>
  <c r="E284" i="4"/>
  <c r="E285" i="4"/>
  <c r="F285" i="4"/>
  <c r="E286" i="4"/>
  <c r="E287" i="4"/>
  <c r="F287" i="4"/>
  <c r="F288" i="4"/>
  <c r="E289" i="4"/>
  <c r="F289" i="4"/>
  <c r="F290" i="4"/>
  <c r="E291" i="4"/>
  <c r="E292" i="4"/>
  <c r="F292" i="4"/>
  <c r="E293" i="4"/>
  <c r="F293" i="4"/>
  <c r="E294" i="4"/>
  <c r="F294" i="4"/>
  <c r="F295" i="4"/>
  <c r="E296" i="4"/>
  <c r="F296" i="4"/>
  <c r="E297" i="4"/>
  <c r="F297" i="4"/>
  <c r="E298" i="4"/>
  <c r="E299" i="4"/>
  <c r="F299" i="4"/>
  <c r="E300" i="4"/>
  <c r="F300" i="4"/>
  <c r="E301" i="4"/>
  <c r="F301" i="4"/>
  <c r="F302" i="4"/>
  <c r="E303" i="4"/>
  <c r="F303" i="4"/>
  <c r="E304" i="4"/>
  <c r="F304" i="4"/>
  <c r="E305" i="4"/>
  <c r="F305" i="4"/>
  <c r="F306" i="4"/>
  <c r="E307" i="4"/>
  <c r="F307" i="4"/>
  <c r="E308" i="4"/>
  <c r="F308" i="4"/>
  <c r="E309" i="4"/>
  <c r="F309" i="4"/>
  <c r="F310" i="4"/>
  <c r="E311" i="4"/>
  <c r="F311" i="4"/>
  <c r="E312" i="4"/>
  <c r="F312" i="4"/>
  <c r="E313" i="4"/>
  <c r="F313" i="4"/>
  <c r="E314" i="4"/>
  <c r="F314" i="4"/>
  <c r="E315" i="4"/>
  <c r="F315" i="4"/>
  <c r="E316" i="4"/>
  <c r="F316" i="4"/>
  <c r="F317" i="4"/>
  <c r="E318" i="4"/>
  <c r="F318" i="4"/>
  <c r="E319" i="4"/>
  <c r="F319" i="4"/>
  <c r="E320" i="4"/>
  <c r="F320" i="4"/>
  <c r="E321" i="4"/>
  <c r="E322" i="4"/>
  <c r="F322" i="4"/>
  <c r="E323" i="4"/>
  <c r="F323" i="4"/>
  <c r="E324" i="4"/>
  <c r="F324" i="4"/>
  <c r="E325" i="4"/>
  <c r="F325" i="4"/>
  <c r="E326" i="4"/>
  <c r="F326" i="4"/>
  <c r="E327" i="4"/>
  <c r="F327" i="4"/>
  <c r="E328" i="4"/>
  <c r="F328" i="4"/>
  <c r="E329" i="4"/>
  <c r="F329" i="4"/>
  <c r="E330" i="4"/>
  <c r="F330" i="4"/>
  <c r="E331" i="4"/>
  <c r="F331" i="4"/>
  <c r="E332" i="4"/>
  <c r="F332" i="4"/>
  <c r="E333" i="4"/>
  <c r="F333" i="4"/>
  <c r="E334" i="4"/>
  <c r="F334" i="4"/>
  <c r="E335" i="4"/>
  <c r="F335" i="4"/>
  <c r="E336" i="4"/>
  <c r="F336" i="4"/>
  <c r="E337" i="4"/>
  <c r="F337" i="4"/>
  <c r="E338" i="4"/>
  <c r="F338" i="4"/>
  <c r="E339" i="4"/>
  <c r="F339" i="4"/>
  <c r="E340" i="4"/>
  <c r="F340" i="4"/>
  <c r="E341" i="4"/>
  <c r="F341" i="4"/>
  <c r="E342" i="4"/>
  <c r="F342" i="4"/>
  <c r="E343" i="4"/>
  <c r="F343" i="4"/>
  <c r="E344" i="4"/>
  <c r="F344" i="4"/>
  <c r="E345" i="4"/>
  <c r="F345" i="4"/>
  <c r="E346" i="4"/>
  <c r="F346" i="4"/>
  <c r="E347" i="4"/>
  <c r="F347" i="4"/>
  <c r="E348" i="4"/>
  <c r="F348" i="4"/>
  <c r="E349" i="4"/>
  <c r="F349" i="4"/>
  <c r="E350" i="4"/>
  <c r="F350" i="4"/>
  <c r="E351" i="4"/>
  <c r="F351" i="4"/>
  <c r="E352" i="4"/>
  <c r="F352" i="4"/>
  <c r="E353" i="4"/>
  <c r="F353" i="4"/>
  <c r="E354" i="4"/>
  <c r="F354" i="4"/>
  <c r="E355" i="4"/>
  <c r="F355" i="4"/>
  <c r="E356" i="4"/>
  <c r="F356" i="4"/>
  <c r="E357" i="4"/>
  <c r="F357" i="4"/>
  <c r="E358" i="4"/>
  <c r="F358" i="4"/>
  <c r="E359" i="4"/>
  <c r="F359" i="4"/>
  <c r="E360" i="4"/>
  <c r="F360" i="4"/>
  <c r="E361" i="4"/>
  <c r="F361" i="4"/>
  <c r="E362" i="4"/>
  <c r="F362" i="4"/>
  <c r="E363" i="4"/>
  <c r="F363" i="4"/>
  <c r="E364" i="4"/>
  <c r="F364" i="4"/>
  <c r="E365" i="4"/>
  <c r="E366" i="4"/>
  <c r="F366" i="4"/>
  <c r="E367" i="4"/>
  <c r="F367" i="4"/>
  <c r="E368" i="4"/>
  <c r="F368" i="4"/>
  <c r="E369" i="4"/>
  <c r="F369" i="4"/>
  <c r="E370" i="4"/>
  <c r="F370" i="4"/>
  <c r="E371" i="4"/>
  <c r="F371" i="4"/>
  <c r="E372" i="4"/>
  <c r="F372" i="4"/>
  <c r="E373" i="4"/>
  <c r="F373" i="4"/>
  <c r="E374" i="4"/>
  <c r="F374" i="4"/>
  <c r="E375" i="4"/>
  <c r="F375" i="4"/>
  <c r="E376" i="4"/>
  <c r="F376" i="4"/>
  <c r="E377" i="4"/>
  <c r="F377" i="4"/>
  <c r="E378" i="4"/>
  <c r="F378" i="4"/>
  <c r="E379" i="4"/>
  <c r="F379" i="4"/>
  <c r="E380" i="4"/>
  <c r="F380" i="4"/>
  <c r="E381" i="4"/>
  <c r="F381" i="4"/>
  <c r="E382" i="4"/>
  <c r="F382" i="4"/>
  <c r="E383" i="4"/>
  <c r="F383" i="4"/>
  <c r="E384" i="4"/>
  <c r="F384" i="4"/>
  <c r="E385" i="4"/>
  <c r="F385" i="4"/>
  <c r="E386" i="4"/>
  <c r="F386" i="4"/>
  <c r="E387" i="4"/>
  <c r="F387" i="4"/>
  <c r="E388" i="4"/>
  <c r="F388" i="4"/>
  <c r="E389" i="4"/>
  <c r="F389" i="4"/>
  <c r="E390" i="4"/>
  <c r="F390" i="4"/>
  <c r="E391" i="4"/>
  <c r="F391" i="4"/>
  <c r="E392" i="4"/>
  <c r="F392" i="4"/>
  <c r="E393" i="4"/>
  <c r="F393" i="4"/>
  <c r="E394" i="4"/>
  <c r="F394" i="4"/>
  <c r="E395" i="4"/>
  <c r="F395" i="4"/>
  <c r="E396" i="4"/>
  <c r="F396" i="4"/>
  <c r="E397" i="4"/>
  <c r="F397" i="4"/>
  <c r="E398" i="4"/>
  <c r="F398" i="4"/>
  <c r="E399" i="4"/>
  <c r="F399" i="4"/>
  <c r="E400" i="4"/>
  <c r="F400" i="4"/>
  <c r="E401" i="4"/>
  <c r="F401" i="4"/>
  <c r="E402" i="4"/>
  <c r="F402" i="4"/>
  <c r="E403" i="4"/>
  <c r="F403" i="4"/>
  <c r="E404" i="4"/>
  <c r="F404" i="4"/>
  <c r="E405" i="4"/>
  <c r="F405" i="4"/>
  <c r="E406" i="4"/>
  <c r="F406" i="4"/>
  <c r="E407" i="4"/>
  <c r="F407" i="4"/>
  <c r="E408" i="4"/>
  <c r="F408" i="4"/>
  <c r="F365" i="4"/>
  <c r="E409" i="4"/>
  <c r="F409" i="4"/>
  <c r="E410" i="4"/>
  <c r="F410" i="4"/>
  <c r="E411" i="4"/>
  <c r="F411" i="4"/>
  <c r="E412" i="4"/>
  <c r="F412" i="4"/>
  <c r="E413" i="4"/>
  <c r="F413" i="4"/>
  <c r="E414" i="4"/>
  <c r="F414" i="4"/>
  <c r="E415" i="4"/>
  <c r="F415" i="4"/>
  <c r="E416" i="4"/>
  <c r="F416" i="4"/>
  <c r="E417" i="4"/>
  <c r="F417" i="4"/>
  <c r="E418" i="4"/>
  <c r="F418" i="4"/>
  <c r="E419" i="4"/>
  <c r="F419" i="4"/>
  <c r="E420" i="4"/>
  <c r="F420" i="4"/>
  <c r="E421" i="4"/>
  <c r="F421" i="4"/>
  <c r="E422" i="4"/>
  <c r="F422" i="4"/>
  <c r="E423" i="4"/>
  <c r="F423" i="4"/>
  <c r="E424" i="4"/>
  <c r="F424" i="4"/>
  <c r="E425" i="4"/>
  <c r="F425" i="4"/>
  <c r="E426" i="4"/>
  <c r="F426" i="4"/>
  <c r="E427" i="4"/>
  <c r="F427" i="4"/>
  <c r="E428" i="4"/>
  <c r="F428" i="4"/>
  <c r="E429" i="4"/>
  <c r="F429" i="4"/>
  <c r="E430" i="4"/>
  <c r="F430" i="4"/>
  <c r="E431" i="4"/>
  <c r="F431" i="4"/>
  <c r="E432" i="4"/>
  <c r="F432" i="4"/>
  <c r="E433" i="4"/>
  <c r="F433" i="4"/>
  <c r="E434" i="4"/>
  <c r="F434" i="4"/>
  <c r="E435" i="4"/>
  <c r="F435" i="4"/>
  <c r="E436" i="4"/>
  <c r="F436" i="4"/>
  <c r="E437" i="4"/>
  <c r="F437" i="4"/>
  <c r="E438" i="4"/>
  <c r="F438" i="4"/>
  <c r="E439" i="4"/>
  <c r="F439" i="4"/>
  <c r="E440" i="4"/>
  <c r="F440" i="4"/>
  <c r="E441" i="4"/>
  <c r="F441" i="4"/>
  <c r="E442" i="4"/>
  <c r="F442" i="4"/>
  <c r="E443" i="4"/>
  <c r="F443" i="4"/>
  <c r="E444" i="4"/>
  <c r="F444" i="4"/>
  <c r="E445" i="4"/>
  <c r="F445" i="4"/>
  <c r="E446" i="4"/>
  <c r="F446" i="4"/>
  <c r="E447" i="4"/>
  <c r="F447" i="4"/>
  <c r="E448" i="4"/>
  <c r="F448" i="4"/>
  <c r="E449" i="4"/>
  <c r="F449" i="4"/>
  <c r="E450" i="4"/>
  <c r="F450" i="4"/>
  <c r="E451" i="4"/>
  <c r="F451" i="4"/>
</calcChain>
</file>

<file path=xl/sharedStrings.xml><?xml version="1.0" encoding="utf-8"?>
<sst xmlns="http://schemas.openxmlformats.org/spreadsheetml/2006/main" count="1414" uniqueCount="50">
  <si>
    <t>ファイル名
（filelist から貼り付け）</t>
  </si>
  <si>
    <t>正式型番</t>
  </si>
  <si>
    <t>取得位置</t>
  </si>
  <si>
    <t>サンプル番号
（数値）</t>
  </si>
  <si>
    <t>破断方向</t>
  </si>
  <si>
    <t>測定値</t>
  </si>
  <si>
    <t>破断状態</t>
  </si>
  <si>
    <t>検索キー</t>
  </si>
  <si>
    <t>84-12BM01②_5.34um破断状態B.jpg</t>
  </si>
  <si>
    <t>84-12BM02②_7.48um破断状態B.jpg</t>
  </si>
  <si>
    <t>84-12BM03②_8.57um破断状態A.jpg</t>
  </si>
  <si>
    <t>84-12BM04②_5.03um破断状態C.jpg</t>
  </si>
  <si>
    <t>84-12BM05②_7.48um破断状態C.jpg</t>
  </si>
  <si>
    <t>84-12RE01②_4.18um破断状態B.jpg</t>
  </si>
  <si>
    <t>84-12RE02②_1.98um破断状態B.jpg</t>
  </si>
  <si>
    <t>84-12RE03②_9.20um破断状態B.jpg</t>
  </si>
  <si>
    <t>84-12RE04②_6.60um破断状態B.jpg</t>
  </si>
  <si>
    <t>84-12RE05②_7.07um破断状態A.jpg</t>
  </si>
  <si>
    <t>84-50RE01③_6.64um破断状態A.jpg</t>
  </si>
  <si>
    <t>84-50RE02③_9.47um破断状態C.jpg</t>
  </si>
  <si>
    <t>84-50RE03③_3.14um破断状態A.jpg</t>
  </si>
  <si>
    <t>84-50RE04③_0.49um破断状態A.jpg</t>
  </si>
  <si>
    <t>84-50RE05③_7.64um破断状態C.jpg</t>
  </si>
  <si>
    <t>84-50TE01①_1.86um破断状態A.jpg</t>
  </si>
  <si>
    <t>84-50TE02①_2.69um破断状態C.jpg</t>
  </si>
  <si>
    <t>84-50TE03①_2.98um破断状態C.jpg</t>
  </si>
  <si>
    <t>84-50TE04①_7.56um破断状態A.jpg</t>
  </si>
  <si>
    <t>84-50TE05①_9.27um破断状態B.jpg</t>
  </si>
  <si>
    <t>破断面観察 自動入力マクロ</t>
  </si>
  <si>
    <t>① 下の【参照】ボタンを押してフォルダを選択</t>
  </si>
  <si>
    <t>選択フォルダ:</t>
  </si>
  <si>
    <t>/Users/tomica/Desktop/dummy_images/</t>
  </si>
  <si>
    <t>② 【ファイル一覧取得】ボタンを押す → filelist に全ファイル名が出力</t>
  </si>
  <si>
    <t>③ filelist シートの A 列を全選択 → コピー</t>
  </si>
  <si>
    <t>④ 「貼り付け場所変換」シートの A 列に貼り付け → 関数で自動変換</t>
  </si>
  <si>
    <t>選択するフォルダを決定</t>
  </si>
  <si>
    <t>選択したフォルダからfilelistのシートにファイル名を張り出す</t>
  </si>
  <si>
    <t>画像ファイル名</t>
  </si>
  <si>
    <t>No</t>
  </si>
  <si>
    <t>DH260507580-50</t>
  </si>
  <si>
    <t>Top Edge</t>
  </si>
  <si>
    <t>①</t>
  </si>
  <si>
    <t>②</t>
  </si>
  <si>
    <t>③</t>
  </si>
  <si>
    <t>Bottom Middle</t>
  </si>
  <si>
    <t>Center</t>
  </si>
  <si>
    <t>Left Edge</t>
  </si>
  <si>
    <t>Right Edge</t>
  </si>
  <si>
    <t>CE260402384-12</t>
  </si>
  <si>
    <t>DCH003484-50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</si>
</sst>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ＭＳ Ｐゴシック"/>
      <family val="2"/>
      <scheme val="minor"/>
    </font>
    <font>
      <b/>
      <sz val="16"/>
      <color rgb="FF2F5496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0000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6"/>
      <name val="ＭＳ Ｐゴシック"/>
      <family val="3"/>
      <charset val="128"/>
      <scheme val="minor"/>
    </font>
    <font>
      <sz val="10"/>
      <color rgb="FF808080"/>
      <name val="ＭＳ ゴシック"/>
      <family val="3"/>
      <charset val="128"/>
    </font>
    <font>
      <sz val="10"/>
      <color rgb="FF808080"/>
      <name val="Arial"/>
      <family val="2"/>
      <charset val="128"/>
    </font>
    <font>
      <b/>
      <sz val="11"/>
      <color rgb="FFFFFFFF"/>
      <name val="Arial"/>
      <family val="2"/>
    </font>
    <font>
      <sz val="10"/>
      <name val="Arial"/>
      <family val="2"/>
    </font>
    <font>
      <sz val="11"/>
      <color rgb="FF0000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2F549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2F5496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6" fillId="2" borderId="1" xfId="0" applyFont="1" applyFill="1" applyBorder="1" applyAlignment="1">
      <alignment horizontal="center" vertical="center" wrapText="1"/>
    </xf>
    <xf numFmtId="22" fontId="0" fillId="0" borderId="0" xfId="0" applyNumberFormat="1"/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3" borderId="0" xfId="0" applyFill="1"/>
    <xf numFmtId="2" fontId="5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4" borderId="0" xfId="0" applyFill="1"/>
    <xf numFmtId="0" fontId="6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0" fontId="0" fillId="6" borderId="0" xfId="0" applyFill="1"/>
    <xf numFmtId="0" fontId="6" fillId="7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2" fontId="11" fillId="0" borderId="2" xfId="0" applyNumberFormat="1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 patternType="solid">
          <fgColor rgb="FFBFBFBF"/>
          <bgColor rgb="FFBFBFBF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10</xdr:row>
          <xdr:rowOff>25400</xdr:rowOff>
        </xdr:from>
        <xdr:to>
          <xdr:col>1</xdr:col>
          <xdr:colOff>1409700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40640F8-65B3-7663-5BC5-A887881A6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12</xdr:row>
          <xdr:rowOff>50800</xdr:rowOff>
        </xdr:from>
        <xdr:to>
          <xdr:col>1</xdr:col>
          <xdr:colOff>1397000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A52F3C7-EA74-CFEE-558F-10BE16BC6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ファイルチェック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4"/>
  <sheetViews>
    <sheetView workbookViewId="0">
      <selection activeCell="A16" sqref="A16:XFD28"/>
    </sheetView>
  </sheetViews>
  <sheetFormatPr baseColWidth="10" defaultColWidth="8.83203125" defaultRowHeight="14"/>
  <cols>
    <col min="1" max="1" width="3" customWidth="1"/>
    <col min="2" max="2" width="22" customWidth="1"/>
    <col min="3" max="3" width="50" customWidth="1"/>
    <col min="4" max="5" width="16" customWidth="1"/>
  </cols>
  <sheetData>
    <row r="2" spans="2:3" ht="20" customHeight="1">
      <c r="B2" s="1" t="s">
        <v>28</v>
      </c>
    </row>
    <row r="4" spans="2:3">
      <c r="B4" s="2" t="s">
        <v>29</v>
      </c>
    </row>
    <row r="5" spans="2:3">
      <c r="B5" s="3" t="s">
        <v>30</v>
      </c>
      <c r="C5" s="4" t="s">
        <v>31</v>
      </c>
    </row>
    <row r="7" spans="2:3">
      <c r="B7" s="2" t="s">
        <v>32</v>
      </c>
    </row>
    <row r="9" spans="2:3">
      <c r="B9" s="2" t="s">
        <v>33</v>
      </c>
    </row>
    <row r="10" spans="2:3">
      <c r="B10" s="2" t="s">
        <v>34</v>
      </c>
    </row>
    <row r="12" spans="2:3">
      <c r="C12" s="7" t="s">
        <v>35</v>
      </c>
    </row>
    <row r="14" spans="2:3" ht="17" customHeight="1">
      <c r="C14" s="8" t="s">
        <v>36</v>
      </c>
    </row>
  </sheetData>
  <phoneticPr fontId="7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eet1.SelectFolder">
                <anchor moveWithCells="1" sizeWithCells="1">
                  <from>
                    <xdr:col>1</xdr:col>
                    <xdr:colOff>114300</xdr:colOff>
                    <xdr:row>10</xdr:row>
                    <xdr:rowOff>25400</xdr:rowOff>
                  </from>
                  <to>
                    <xdr:col>1</xdr:col>
                    <xdr:colOff>1409700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GetFileList">
                <anchor moveWithCells="1" sizeWithCells="1">
                  <from>
                    <xdr:col>1</xdr:col>
                    <xdr:colOff>139700</xdr:colOff>
                    <xdr:row>12</xdr:row>
                    <xdr:rowOff>50800</xdr:rowOff>
                  </from>
                  <to>
                    <xdr:col>1</xdr:col>
                    <xdr:colOff>1397000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1"/>
  <sheetViews>
    <sheetView workbookViewId="0">
      <pane ySplit="1" topLeftCell="A2" activePane="bottomLeft" state="frozen"/>
      <selection pane="bottomLeft" activeCell="A2" sqref="A2:A21"/>
    </sheetView>
  </sheetViews>
  <sheetFormatPr baseColWidth="10" defaultColWidth="8.83203125" defaultRowHeight="14"/>
  <cols>
    <col min="1" max="1" width="50" customWidth="1"/>
  </cols>
  <sheetData>
    <row r="1" spans="1:2" ht="15" customHeight="1">
      <c r="A1" s="5" t="s">
        <v>37</v>
      </c>
    </row>
    <row r="2" spans="1:2">
      <c r="A2" t="s">
        <v>8</v>
      </c>
      <c r="B2" s="6"/>
    </row>
    <row r="3" spans="1:2">
      <c r="A3" t="s">
        <v>9</v>
      </c>
    </row>
    <row r="4" spans="1:2">
      <c r="A4" t="s">
        <v>10</v>
      </c>
    </row>
    <row r="5" spans="1:2">
      <c r="A5" t="s">
        <v>11</v>
      </c>
    </row>
    <row r="6" spans="1:2">
      <c r="A6" t="s">
        <v>12</v>
      </c>
    </row>
    <row r="7" spans="1:2">
      <c r="A7" t="s">
        <v>13</v>
      </c>
    </row>
    <row r="8" spans="1:2">
      <c r="A8" t="s">
        <v>14</v>
      </c>
    </row>
    <row r="9" spans="1:2">
      <c r="A9" t="s">
        <v>15</v>
      </c>
    </row>
    <row r="10" spans="1:2">
      <c r="A10" t="s">
        <v>16</v>
      </c>
    </row>
    <row r="11" spans="1:2">
      <c r="A11" t="s">
        <v>17</v>
      </c>
    </row>
    <row r="12" spans="1:2">
      <c r="A12" t="s">
        <v>18</v>
      </c>
    </row>
    <row r="13" spans="1:2">
      <c r="A13" t="s">
        <v>19</v>
      </c>
    </row>
    <row r="14" spans="1:2">
      <c r="A14" t="s">
        <v>20</v>
      </c>
    </row>
    <row r="15" spans="1:2">
      <c r="A15" t="s">
        <v>21</v>
      </c>
    </row>
    <row r="16" spans="1:2">
      <c r="A16" t="s">
        <v>22</v>
      </c>
    </row>
    <row r="17" spans="1:1">
      <c r="A17" t="s">
        <v>23</v>
      </c>
    </row>
    <row r="18" spans="1:1">
      <c r="A18" t="s">
        <v>24</v>
      </c>
    </row>
    <row r="19" spans="1:1">
      <c r="A19" t="s">
        <v>25</v>
      </c>
    </row>
    <row r="20" spans="1:1">
      <c r="A20" t="s">
        <v>26</v>
      </c>
    </row>
    <row r="21" spans="1:1">
      <c r="A21" t="s">
        <v>27</v>
      </c>
    </row>
  </sheetData>
  <phoneticPr fontId="7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1"/>
  <sheetViews>
    <sheetView zoomScale="142" zoomScaleNormal="142" workbookViewId="0">
      <pane ySplit="1" topLeftCell="A2" activePane="bottomLeft" state="frozen"/>
      <selection pane="bottomLeft" activeCell="E21" sqref="E21"/>
    </sheetView>
  </sheetViews>
  <sheetFormatPr baseColWidth="10" defaultColWidth="8.83203125" defaultRowHeight="14"/>
  <cols>
    <col min="1" max="1" width="30.83203125" style="9" customWidth="1"/>
    <col min="2" max="2" width="22" style="15" customWidth="1"/>
    <col min="3" max="3" width="18" style="15" customWidth="1"/>
    <col min="4" max="5" width="14" style="15" customWidth="1"/>
    <col min="6" max="6" width="7.33203125" style="12" customWidth="1"/>
    <col min="7" max="7" width="12.83203125" style="12" customWidth="1"/>
    <col min="8" max="8" width="27.83203125" customWidth="1"/>
  </cols>
  <sheetData>
    <row r="1" spans="1:8" ht="30" customHeight="1">
      <c r="A1" s="17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3" t="s">
        <v>5</v>
      </c>
      <c r="G1" s="13" t="s">
        <v>6</v>
      </c>
      <c r="H1" s="18" t="s">
        <v>7</v>
      </c>
    </row>
    <row r="2" spans="1:8">
      <c r="A2" s="9" t="s">
        <v>8</v>
      </c>
      <c r="B2" s="14" t="str">
        <f t="shared" ref="B2:B21" si="0">IF(MID(A2,1,5)="80-50","DH260507580-50",IF(MID(A2,1,5)="84-12","CE260402384-12",IF(MID(A2,1,5)="84-50","DCH003484-50","該当なし")))</f>
        <v>CE260402384-12</v>
      </c>
      <c r="C2" s="14" t="str">
        <f t="shared" ref="C2:C21" si="1">IF(MID(A2,6,2)="TE","Top Edge",IF(MID(A2,6,2)="BM","Bottom Middle",IF(MID(A2,6,2)="Ct","Center",IF(MID(A2,6,2)="LE","Left Edge",IF(MID(A2,6,2)="RE","Right Edge","該当なし")))))</f>
        <v>Bottom Middle</v>
      </c>
      <c r="D2" s="14">
        <f t="shared" ref="D2:D21" si="2">MID(A2,8,2)*1</f>
        <v>1</v>
      </c>
      <c r="E2" s="14" t="str">
        <f t="shared" ref="E2:E21" si="3">IF(IFERROR(FIND("①",A2),0)+IFERROR(FIND("②",A2),0)+IFERROR(FIND("③",A2),0)=0,"該当なし",MID(A2,IFERROR(FIND("①",A2),0)+IFERROR(FIND("②",A2),0)+IFERROR(FIND("③",A2),0),1))</f>
        <v>②</v>
      </c>
      <c r="F2" s="10">
        <f t="shared" ref="F2:F21" si="4">MID(A2,FIND("_",A2)+1,FIND("um",A2)-FIND("_",A2)-1)*1</f>
        <v>5.34</v>
      </c>
      <c r="G2" s="11" t="str">
        <f t="shared" ref="G2:G21" si="5">MID(A2,FIND("um",A2)+2,FIND(".jpg",A2)-FIND("um",A2)-2)</f>
        <v>破断状態B</v>
      </c>
      <c r="H2" s="19" t="str">
        <f t="shared" ref="H2:H21" si="6">B2&amp;C2&amp;D2&amp;E2</f>
        <v>CE260402384-12Bottom Middle1②</v>
      </c>
    </row>
    <row r="3" spans="1:8">
      <c r="A3" s="9" t="s">
        <v>9</v>
      </c>
      <c r="B3" s="14" t="str">
        <f t="shared" si="0"/>
        <v>CE260402384-12</v>
      </c>
      <c r="C3" s="14" t="str">
        <f t="shared" si="1"/>
        <v>Bottom Middle</v>
      </c>
      <c r="D3" s="14">
        <f t="shared" si="2"/>
        <v>2</v>
      </c>
      <c r="E3" s="14" t="str">
        <f t="shared" si="3"/>
        <v>②</v>
      </c>
      <c r="F3" s="10">
        <f t="shared" si="4"/>
        <v>7.48</v>
      </c>
      <c r="G3" s="11" t="str">
        <f t="shared" si="5"/>
        <v>破断状態B</v>
      </c>
      <c r="H3" s="19" t="str">
        <f t="shared" si="6"/>
        <v>CE260402384-12Bottom Middle2②</v>
      </c>
    </row>
    <row r="4" spans="1:8">
      <c r="A4" s="9" t="s">
        <v>10</v>
      </c>
      <c r="B4" s="14" t="str">
        <f t="shared" si="0"/>
        <v>CE260402384-12</v>
      </c>
      <c r="C4" s="14" t="str">
        <f t="shared" si="1"/>
        <v>Bottom Middle</v>
      </c>
      <c r="D4" s="14">
        <f t="shared" si="2"/>
        <v>3</v>
      </c>
      <c r="E4" s="14" t="str">
        <f t="shared" si="3"/>
        <v>②</v>
      </c>
      <c r="F4" s="10">
        <f t="shared" si="4"/>
        <v>8.57</v>
      </c>
      <c r="G4" s="11" t="str">
        <f t="shared" si="5"/>
        <v>破断状態A</v>
      </c>
      <c r="H4" s="19" t="str">
        <f t="shared" si="6"/>
        <v>CE260402384-12Bottom Middle3②</v>
      </c>
    </row>
    <row r="5" spans="1:8">
      <c r="A5" s="9" t="s">
        <v>11</v>
      </c>
      <c r="B5" s="14" t="str">
        <f t="shared" si="0"/>
        <v>CE260402384-12</v>
      </c>
      <c r="C5" s="14" t="str">
        <f t="shared" si="1"/>
        <v>Bottom Middle</v>
      </c>
      <c r="D5" s="14">
        <f t="shared" si="2"/>
        <v>4</v>
      </c>
      <c r="E5" s="14" t="str">
        <f t="shared" si="3"/>
        <v>②</v>
      </c>
      <c r="F5" s="10">
        <f t="shared" si="4"/>
        <v>5.03</v>
      </c>
      <c r="G5" s="11" t="str">
        <f t="shared" si="5"/>
        <v>破断状態C</v>
      </c>
      <c r="H5" s="19" t="str">
        <f t="shared" si="6"/>
        <v>CE260402384-12Bottom Middle4②</v>
      </c>
    </row>
    <row r="6" spans="1:8">
      <c r="A6" s="9" t="s">
        <v>12</v>
      </c>
      <c r="B6" s="14" t="str">
        <f t="shared" si="0"/>
        <v>CE260402384-12</v>
      </c>
      <c r="C6" s="14" t="str">
        <f t="shared" si="1"/>
        <v>Bottom Middle</v>
      </c>
      <c r="D6" s="14">
        <f t="shared" si="2"/>
        <v>5</v>
      </c>
      <c r="E6" s="14" t="str">
        <f t="shared" si="3"/>
        <v>②</v>
      </c>
      <c r="F6" s="10">
        <f t="shared" si="4"/>
        <v>7.48</v>
      </c>
      <c r="G6" s="11" t="str">
        <f t="shared" si="5"/>
        <v>破断状態C</v>
      </c>
      <c r="H6" s="19" t="str">
        <f t="shared" si="6"/>
        <v>CE260402384-12Bottom Middle5②</v>
      </c>
    </row>
    <row r="7" spans="1:8">
      <c r="A7" s="9" t="s">
        <v>13</v>
      </c>
      <c r="B7" s="14" t="str">
        <f t="shared" si="0"/>
        <v>CE260402384-12</v>
      </c>
      <c r="C7" s="14" t="str">
        <f t="shared" si="1"/>
        <v>Right Edge</v>
      </c>
      <c r="D7" s="14">
        <f t="shared" si="2"/>
        <v>1</v>
      </c>
      <c r="E7" s="14" t="str">
        <f t="shared" si="3"/>
        <v>②</v>
      </c>
      <c r="F7" s="10">
        <f t="shared" si="4"/>
        <v>4.18</v>
      </c>
      <c r="G7" s="11" t="str">
        <f t="shared" si="5"/>
        <v>破断状態B</v>
      </c>
      <c r="H7" s="19" t="str">
        <f t="shared" si="6"/>
        <v>CE260402384-12Right Edge1②</v>
      </c>
    </row>
    <row r="8" spans="1:8">
      <c r="A8" s="9" t="s">
        <v>14</v>
      </c>
      <c r="B8" s="14" t="str">
        <f t="shared" si="0"/>
        <v>CE260402384-12</v>
      </c>
      <c r="C8" s="14" t="str">
        <f t="shared" si="1"/>
        <v>Right Edge</v>
      </c>
      <c r="D8" s="14">
        <f t="shared" si="2"/>
        <v>2</v>
      </c>
      <c r="E8" s="14" t="str">
        <f t="shared" si="3"/>
        <v>②</v>
      </c>
      <c r="F8" s="10">
        <f t="shared" si="4"/>
        <v>1.98</v>
      </c>
      <c r="G8" s="11" t="str">
        <f t="shared" si="5"/>
        <v>破断状態B</v>
      </c>
      <c r="H8" s="19" t="str">
        <f t="shared" si="6"/>
        <v>CE260402384-12Right Edge2②</v>
      </c>
    </row>
    <row r="9" spans="1:8">
      <c r="A9" s="9" t="s">
        <v>15</v>
      </c>
      <c r="B9" s="14" t="str">
        <f t="shared" si="0"/>
        <v>CE260402384-12</v>
      </c>
      <c r="C9" s="14" t="str">
        <f t="shared" si="1"/>
        <v>Right Edge</v>
      </c>
      <c r="D9" s="14">
        <f t="shared" si="2"/>
        <v>3</v>
      </c>
      <c r="E9" s="14" t="str">
        <f t="shared" si="3"/>
        <v>②</v>
      </c>
      <c r="F9" s="10">
        <f t="shared" si="4"/>
        <v>9.1999999999999993</v>
      </c>
      <c r="G9" s="11" t="str">
        <f t="shared" si="5"/>
        <v>破断状態B</v>
      </c>
      <c r="H9" s="19" t="str">
        <f t="shared" si="6"/>
        <v>CE260402384-12Right Edge3②</v>
      </c>
    </row>
    <row r="10" spans="1:8">
      <c r="A10" s="9" t="s">
        <v>16</v>
      </c>
      <c r="B10" s="14" t="str">
        <f t="shared" si="0"/>
        <v>CE260402384-12</v>
      </c>
      <c r="C10" s="14" t="str">
        <f t="shared" si="1"/>
        <v>Right Edge</v>
      </c>
      <c r="D10" s="14">
        <f t="shared" si="2"/>
        <v>4</v>
      </c>
      <c r="E10" s="14" t="str">
        <f t="shared" si="3"/>
        <v>②</v>
      </c>
      <c r="F10" s="10">
        <f t="shared" si="4"/>
        <v>6.6</v>
      </c>
      <c r="G10" s="11" t="str">
        <f t="shared" si="5"/>
        <v>破断状態B</v>
      </c>
      <c r="H10" s="19" t="str">
        <f t="shared" si="6"/>
        <v>CE260402384-12Right Edge4②</v>
      </c>
    </row>
    <row r="11" spans="1:8">
      <c r="A11" s="9" t="s">
        <v>17</v>
      </c>
      <c r="B11" s="14" t="str">
        <f t="shared" si="0"/>
        <v>CE260402384-12</v>
      </c>
      <c r="C11" s="14" t="str">
        <f t="shared" si="1"/>
        <v>Right Edge</v>
      </c>
      <c r="D11" s="14">
        <f t="shared" si="2"/>
        <v>5</v>
      </c>
      <c r="E11" s="14" t="str">
        <f t="shared" si="3"/>
        <v>②</v>
      </c>
      <c r="F11" s="10">
        <f t="shared" si="4"/>
        <v>7.07</v>
      </c>
      <c r="G11" s="11" t="str">
        <f t="shared" si="5"/>
        <v>破断状態A</v>
      </c>
      <c r="H11" s="19" t="str">
        <f t="shared" si="6"/>
        <v>CE260402384-12Right Edge5②</v>
      </c>
    </row>
    <row r="12" spans="1:8">
      <c r="A12" s="9" t="s">
        <v>18</v>
      </c>
      <c r="B12" s="14" t="str">
        <f t="shared" si="0"/>
        <v>DCH003484-50</v>
      </c>
      <c r="C12" s="14" t="str">
        <f t="shared" si="1"/>
        <v>Right Edge</v>
      </c>
      <c r="D12" s="14">
        <f t="shared" si="2"/>
        <v>1</v>
      </c>
      <c r="E12" s="14" t="str">
        <f t="shared" si="3"/>
        <v>③</v>
      </c>
      <c r="F12" s="10">
        <f t="shared" si="4"/>
        <v>6.64</v>
      </c>
      <c r="G12" s="11" t="str">
        <f t="shared" si="5"/>
        <v>破断状態A</v>
      </c>
      <c r="H12" s="19" t="str">
        <f t="shared" si="6"/>
        <v>DCH003484-50Right Edge1③</v>
      </c>
    </row>
    <row r="13" spans="1:8">
      <c r="A13" s="9" t="s">
        <v>19</v>
      </c>
      <c r="B13" s="14" t="str">
        <f t="shared" si="0"/>
        <v>DCH003484-50</v>
      </c>
      <c r="C13" s="14" t="str">
        <f t="shared" si="1"/>
        <v>Right Edge</v>
      </c>
      <c r="D13" s="14">
        <f t="shared" si="2"/>
        <v>2</v>
      </c>
      <c r="E13" s="14" t="str">
        <f t="shared" si="3"/>
        <v>③</v>
      </c>
      <c r="F13" s="10">
        <f t="shared" si="4"/>
        <v>9.4700000000000006</v>
      </c>
      <c r="G13" s="11" t="str">
        <f t="shared" si="5"/>
        <v>破断状態C</v>
      </c>
      <c r="H13" s="19" t="str">
        <f t="shared" si="6"/>
        <v>DCH003484-50Right Edge2③</v>
      </c>
    </row>
    <row r="14" spans="1:8">
      <c r="A14" s="9" t="s">
        <v>20</v>
      </c>
      <c r="B14" s="14" t="str">
        <f t="shared" si="0"/>
        <v>DCH003484-50</v>
      </c>
      <c r="C14" s="14" t="str">
        <f t="shared" si="1"/>
        <v>Right Edge</v>
      </c>
      <c r="D14" s="14">
        <f t="shared" si="2"/>
        <v>3</v>
      </c>
      <c r="E14" s="14" t="str">
        <f t="shared" si="3"/>
        <v>③</v>
      </c>
      <c r="F14" s="10">
        <f t="shared" si="4"/>
        <v>3.14</v>
      </c>
      <c r="G14" s="11" t="str">
        <f t="shared" si="5"/>
        <v>破断状態A</v>
      </c>
      <c r="H14" s="19" t="str">
        <f t="shared" si="6"/>
        <v>DCH003484-50Right Edge3③</v>
      </c>
    </row>
    <row r="15" spans="1:8">
      <c r="A15" s="9" t="s">
        <v>21</v>
      </c>
      <c r="B15" s="14" t="str">
        <f t="shared" si="0"/>
        <v>DCH003484-50</v>
      </c>
      <c r="C15" s="14" t="str">
        <f t="shared" si="1"/>
        <v>Right Edge</v>
      </c>
      <c r="D15" s="14">
        <f t="shared" si="2"/>
        <v>4</v>
      </c>
      <c r="E15" s="14" t="str">
        <f t="shared" si="3"/>
        <v>③</v>
      </c>
      <c r="F15" s="10">
        <f t="shared" si="4"/>
        <v>0.49</v>
      </c>
      <c r="G15" s="11" t="str">
        <f t="shared" si="5"/>
        <v>破断状態A</v>
      </c>
      <c r="H15" s="19" t="str">
        <f t="shared" si="6"/>
        <v>DCH003484-50Right Edge4③</v>
      </c>
    </row>
    <row r="16" spans="1:8">
      <c r="A16" s="9" t="s">
        <v>22</v>
      </c>
      <c r="B16" s="14" t="str">
        <f t="shared" si="0"/>
        <v>DCH003484-50</v>
      </c>
      <c r="C16" s="14" t="str">
        <f t="shared" si="1"/>
        <v>Right Edge</v>
      </c>
      <c r="D16" s="14">
        <f t="shared" si="2"/>
        <v>5</v>
      </c>
      <c r="E16" s="14" t="str">
        <f t="shared" si="3"/>
        <v>③</v>
      </c>
      <c r="F16" s="10">
        <f t="shared" si="4"/>
        <v>7.64</v>
      </c>
      <c r="G16" s="11" t="str">
        <f t="shared" si="5"/>
        <v>破断状態C</v>
      </c>
      <c r="H16" s="19" t="str">
        <f t="shared" si="6"/>
        <v>DCH003484-50Right Edge5③</v>
      </c>
    </row>
    <row r="17" spans="1:8">
      <c r="A17" s="9" t="s">
        <v>23</v>
      </c>
      <c r="B17" s="14" t="str">
        <f t="shared" si="0"/>
        <v>DCH003484-50</v>
      </c>
      <c r="C17" s="14" t="str">
        <f t="shared" si="1"/>
        <v>Top Edge</v>
      </c>
      <c r="D17" s="14">
        <f t="shared" si="2"/>
        <v>1</v>
      </c>
      <c r="E17" s="14" t="str">
        <f t="shared" si="3"/>
        <v>①</v>
      </c>
      <c r="F17" s="10">
        <f t="shared" si="4"/>
        <v>1.86</v>
      </c>
      <c r="G17" s="11" t="str">
        <f t="shared" si="5"/>
        <v>破断状態A</v>
      </c>
      <c r="H17" s="19" t="str">
        <f t="shared" si="6"/>
        <v>DCH003484-50Top Edge1①</v>
      </c>
    </row>
    <row r="18" spans="1:8">
      <c r="A18" s="9" t="s">
        <v>24</v>
      </c>
      <c r="B18" s="14" t="str">
        <f t="shared" si="0"/>
        <v>DCH003484-50</v>
      </c>
      <c r="C18" s="14" t="str">
        <f t="shared" si="1"/>
        <v>Top Edge</v>
      </c>
      <c r="D18" s="14">
        <f t="shared" si="2"/>
        <v>2</v>
      </c>
      <c r="E18" s="14" t="str">
        <f t="shared" si="3"/>
        <v>①</v>
      </c>
      <c r="F18" s="10">
        <f t="shared" si="4"/>
        <v>2.69</v>
      </c>
      <c r="G18" s="11" t="str">
        <f t="shared" si="5"/>
        <v>破断状態C</v>
      </c>
      <c r="H18" s="19" t="str">
        <f t="shared" si="6"/>
        <v>DCH003484-50Top Edge2①</v>
      </c>
    </row>
    <row r="19" spans="1:8">
      <c r="A19" s="9" t="s">
        <v>25</v>
      </c>
      <c r="B19" s="14" t="str">
        <f t="shared" si="0"/>
        <v>DCH003484-50</v>
      </c>
      <c r="C19" s="14" t="str">
        <f t="shared" si="1"/>
        <v>Top Edge</v>
      </c>
      <c r="D19" s="14">
        <f t="shared" si="2"/>
        <v>3</v>
      </c>
      <c r="E19" s="14" t="str">
        <f t="shared" si="3"/>
        <v>①</v>
      </c>
      <c r="F19" s="10">
        <f t="shared" si="4"/>
        <v>2.98</v>
      </c>
      <c r="G19" s="11" t="str">
        <f t="shared" si="5"/>
        <v>破断状態C</v>
      </c>
      <c r="H19" s="19" t="str">
        <f t="shared" si="6"/>
        <v>DCH003484-50Top Edge3①</v>
      </c>
    </row>
    <row r="20" spans="1:8">
      <c r="A20" s="9" t="s">
        <v>26</v>
      </c>
      <c r="B20" s="14" t="str">
        <f t="shared" si="0"/>
        <v>DCH003484-50</v>
      </c>
      <c r="C20" s="14" t="str">
        <f t="shared" si="1"/>
        <v>Top Edge</v>
      </c>
      <c r="D20" s="14">
        <f t="shared" si="2"/>
        <v>4</v>
      </c>
      <c r="E20" s="14" t="str">
        <f t="shared" si="3"/>
        <v>①</v>
      </c>
      <c r="F20" s="10">
        <f t="shared" si="4"/>
        <v>7.56</v>
      </c>
      <c r="G20" s="11" t="str">
        <f t="shared" si="5"/>
        <v>破断状態A</v>
      </c>
      <c r="H20" s="19" t="str">
        <f t="shared" si="6"/>
        <v>DCH003484-50Top Edge4①</v>
      </c>
    </row>
    <row r="21" spans="1:8">
      <c r="A21" s="9" t="s">
        <v>27</v>
      </c>
      <c r="B21" s="14" t="str">
        <f t="shared" si="0"/>
        <v>DCH003484-50</v>
      </c>
      <c r="C21" s="14" t="str">
        <f t="shared" si="1"/>
        <v>Top Edge</v>
      </c>
      <c r="D21" s="14">
        <f t="shared" si="2"/>
        <v>5</v>
      </c>
      <c r="E21" s="14" t="str">
        <f t="shared" si="3"/>
        <v>①</v>
      </c>
      <c r="F21" s="10">
        <f t="shared" si="4"/>
        <v>9.27</v>
      </c>
      <c r="G21" s="11" t="str">
        <f t="shared" si="5"/>
        <v>破断状態B</v>
      </c>
      <c r="H21" s="19" t="str">
        <f t="shared" si="6"/>
        <v>DCH003484-50Top Edge5①</v>
      </c>
    </row>
  </sheetData>
  <autoFilter ref="A1:G6" xr:uid="{00000000-0009-0000-0000-000002000000}"/>
  <phoneticPr fontId="7"/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451"/>
  <sheetViews>
    <sheetView tabSelected="1" workbookViewId="0">
      <pane ySplit="1" topLeftCell="A157" activePane="bottomLeft" state="frozen"/>
      <selection pane="bottomLeft"/>
    </sheetView>
  </sheetViews>
  <sheetFormatPr baseColWidth="10" defaultColWidth="8.83203125" defaultRowHeight="14"/>
  <cols>
    <col min="1" max="1" width="22" customWidth="1"/>
    <col min="2" max="2" width="18" customWidth="1"/>
    <col min="3" max="3" width="8" customWidth="1"/>
    <col min="4" max="4" width="10" customWidth="1"/>
    <col min="5" max="5" width="14" customWidth="1"/>
    <col min="6" max="6" width="20" customWidth="1"/>
  </cols>
  <sheetData>
    <row r="1" spans="1:6" ht="15">
      <c r="A1" s="18" t="s">
        <v>1</v>
      </c>
      <c r="B1" s="18" t="s">
        <v>2</v>
      </c>
      <c r="C1" s="18" t="s">
        <v>38</v>
      </c>
      <c r="D1" s="18" t="s">
        <v>4</v>
      </c>
      <c r="E1" s="18" t="s">
        <v>5</v>
      </c>
      <c r="F1" s="18" t="s">
        <v>6</v>
      </c>
    </row>
    <row r="2" spans="1:6">
      <c r="A2" s="19" t="s">
        <v>39</v>
      </c>
      <c r="B2" s="19" t="s">
        <v>40</v>
      </c>
      <c r="C2" s="19">
        <v>1</v>
      </c>
      <c r="D2" s="19" t="s">
        <v>41</v>
      </c>
      <c r="E2" s="20" t="str">
        <f>IFERROR(INDEX(貼り付け場所変換!F:F,MATCH(A2&amp;B2&amp;C2&amp;D2,貼り付け場所変換!H:H,0)),"該当なし")</f>
        <v>該当なし</v>
      </c>
      <c r="F2" s="19" t="str">
        <f>IFERROR(INDEX(貼り付け場所変換!G:G,MATCH(A2&amp;B2&amp;C2&amp;D2,貼り付け場所変換!H:H,0)),"該当なし")</f>
        <v>該当なし</v>
      </c>
    </row>
    <row r="3" spans="1:6">
      <c r="A3" s="19" t="s">
        <v>39</v>
      </c>
      <c r="B3" s="19" t="s">
        <v>40</v>
      </c>
      <c r="C3" s="19">
        <v>2</v>
      </c>
      <c r="D3" s="19" t="s">
        <v>41</v>
      </c>
      <c r="E3" s="20" t="str">
        <f>IFERROR(INDEX(貼り付け場所変換!F:F,MATCH(A3&amp;B3&amp;C3&amp;D3,貼り付け場所変換!H:H,0)),"該当なし")</f>
        <v>該当なし</v>
      </c>
      <c r="F3" s="19" t="str">
        <f>IFERROR(INDEX(貼り付け場所変換!G:G,MATCH(A3&amp;B3&amp;C3&amp;D3,貼り付け場所変換!H:H,0)),"該当なし")</f>
        <v>該当なし</v>
      </c>
    </row>
    <row r="4" spans="1:6">
      <c r="A4" s="19" t="s">
        <v>39</v>
      </c>
      <c r="B4" s="19" t="s">
        <v>40</v>
      </c>
      <c r="C4" s="19">
        <v>3</v>
      </c>
      <c r="D4" s="19" t="s">
        <v>41</v>
      </c>
      <c r="E4" s="20" t="str">
        <f>IFERROR(INDEX(貼り付け場所変換!F:F,MATCH(A4&amp;B4&amp;C4&amp;D4,貼り付け場所変換!H:H,0)),"該当なし")</f>
        <v>該当なし</v>
      </c>
      <c r="F4" s="19" t="str">
        <f>IFERROR(INDEX(貼り付け場所変換!G:G,MATCH(A4&amp;B4&amp;C4&amp;D4,貼り付け場所変換!H:H,0)),"該当なし")</f>
        <v>該当なし</v>
      </c>
    </row>
    <row r="5" spans="1:6">
      <c r="A5" s="19" t="s">
        <v>39</v>
      </c>
      <c r="B5" s="19" t="s">
        <v>40</v>
      </c>
      <c r="C5" s="19">
        <v>4</v>
      </c>
      <c r="D5" s="19" t="s">
        <v>41</v>
      </c>
      <c r="E5" s="20" t="str">
        <f>IFERROR(INDEX(貼り付け場所変換!F:F,MATCH(A5&amp;B5&amp;C5&amp;D5,貼り付け場所変換!H:H,0)),"該当なし")</f>
        <v>該当なし</v>
      </c>
      <c r="F5" s="19" t="str">
        <f>IFERROR(INDEX(貼り付け場所変換!G:G,MATCH(A5&amp;B5&amp;C5&amp;D5,貼り付け場所変換!H:H,0)),"該当なし")</f>
        <v>該当なし</v>
      </c>
    </row>
    <row r="6" spans="1:6">
      <c r="A6" s="19" t="s">
        <v>39</v>
      </c>
      <c r="B6" s="19" t="s">
        <v>40</v>
      </c>
      <c r="C6" s="19">
        <v>5</v>
      </c>
      <c r="D6" s="19" t="s">
        <v>41</v>
      </c>
      <c r="E6" s="20" t="str">
        <f>IFERROR(INDEX(貼り付け場所変換!F:F,MATCH(A6&amp;B6&amp;C6&amp;D6,貼り付け場所変換!H:H,0)),"該当なし")</f>
        <v>該当なし</v>
      </c>
      <c r="F6" s="19" t="str">
        <f>IFERROR(INDEX(貼り付け場所変換!G:G,MATCH(A6&amp;B6&amp;C6&amp;D6,貼り付け場所変換!H:H,0)),"該当なし")</f>
        <v>該当なし</v>
      </c>
    </row>
    <row r="7" spans="1:6">
      <c r="A7" s="19" t="s">
        <v>39</v>
      </c>
      <c r="B7" s="19" t="s">
        <v>40</v>
      </c>
      <c r="C7" s="19">
        <v>6</v>
      </c>
      <c r="D7" s="19" t="s">
        <v>41</v>
      </c>
      <c r="E7" s="20" t="str">
        <f>IFERROR(INDEX(貼り付け場所変換!F:F,MATCH(A7&amp;B7&amp;C7&amp;D7,貼り付け場所変換!H:H,0)),"該当なし")</f>
        <v>該当なし</v>
      </c>
      <c r="F7" s="19" t="str">
        <f>IFERROR(INDEX(貼り付け場所変換!G:G,MATCH(A7&amp;B7&amp;C7&amp;D7,貼り付け場所変換!H:H,0)),"該当なし")</f>
        <v>該当なし</v>
      </c>
    </row>
    <row r="8" spans="1:6">
      <c r="A8" s="19" t="s">
        <v>39</v>
      </c>
      <c r="B8" s="19" t="s">
        <v>40</v>
      </c>
      <c r="C8" s="19">
        <v>7</v>
      </c>
      <c r="D8" s="19" t="s">
        <v>41</v>
      </c>
      <c r="E8" s="20" t="str">
        <f>IFERROR(INDEX(貼り付け場所変換!F:F,MATCH(A8&amp;B8&amp;C8&amp;D8,貼り付け場所変換!H:H,0)),"該当なし")</f>
        <v>該当なし</v>
      </c>
      <c r="F8" s="19" t="str">
        <f>IFERROR(INDEX(貼り付け場所変換!G:G,MATCH(A8&amp;B8&amp;C8&amp;D8,貼り付け場所変換!H:H,0)),"該当なし")</f>
        <v>該当なし</v>
      </c>
    </row>
    <row r="9" spans="1:6">
      <c r="A9" s="19" t="s">
        <v>39</v>
      </c>
      <c r="B9" s="19" t="s">
        <v>40</v>
      </c>
      <c r="C9" s="19">
        <v>8</v>
      </c>
      <c r="D9" s="19" t="s">
        <v>41</v>
      </c>
      <c r="E9" s="20" t="str">
        <f>IFERROR(INDEX(貼り付け場所変換!F:F,MATCH(A9&amp;B9&amp;C9&amp;D9,貼り付け場所変換!H:H,0)),"該当なし")</f>
        <v>該当なし</v>
      </c>
      <c r="F9" s="19" t="str">
        <f>IFERROR(INDEX(貼り付け場所変換!G:G,MATCH(A9&amp;B9&amp;C9&amp;D9,貼り付け場所変換!H:H,0)),"該当なし")</f>
        <v>該当なし</v>
      </c>
    </row>
    <row r="10" spans="1:6">
      <c r="A10" s="19" t="s">
        <v>39</v>
      </c>
      <c r="B10" s="19" t="s">
        <v>40</v>
      </c>
      <c r="C10" s="19">
        <v>9</v>
      </c>
      <c r="D10" s="19" t="s">
        <v>41</v>
      </c>
      <c r="E10" s="20" t="str">
        <f>IFERROR(INDEX(貼り付け場所変換!F:F,MATCH(A10&amp;B10&amp;C10&amp;D10,貼り付け場所変換!H:H,0)),"該当なし")</f>
        <v>該当なし</v>
      </c>
      <c r="F10" s="19" t="str">
        <f>IFERROR(INDEX(貼り付け場所変換!G:G,MATCH(A10&amp;B10&amp;C10&amp;D10,貼り付け場所変換!H:H,0)),"該当なし")</f>
        <v>該当なし</v>
      </c>
    </row>
    <row r="11" spans="1:6">
      <c r="A11" s="19" t="s">
        <v>39</v>
      </c>
      <c r="B11" s="19" t="s">
        <v>40</v>
      </c>
      <c r="C11" s="19">
        <v>10</v>
      </c>
      <c r="D11" s="19" t="s">
        <v>41</v>
      </c>
      <c r="E11" s="20" t="str">
        <f>IFERROR(INDEX(貼り付け場所変換!F:F,MATCH(A11&amp;B11&amp;C11&amp;D11,貼り付け場所変換!H:H,0)),"該当なし")</f>
        <v>該当なし</v>
      </c>
      <c r="F11" s="19" t="str">
        <f>IFERROR(INDEX(貼り付け場所変換!G:G,MATCH(A11&amp;B11&amp;C11&amp;D11,貼り付け場所変換!H:H,0)),"該当なし")</f>
        <v>該当なし</v>
      </c>
    </row>
    <row r="12" spans="1:6">
      <c r="A12" s="19" t="s">
        <v>39</v>
      </c>
      <c r="B12" s="19" t="s">
        <v>40</v>
      </c>
      <c r="C12" s="19">
        <v>1</v>
      </c>
      <c r="D12" s="19" t="s">
        <v>42</v>
      </c>
      <c r="E12" s="20" t="str">
        <f>IFERROR(INDEX(貼り付け場所変換!F:F,MATCH(A12&amp;B12&amp;C12&amp;D12,貼り付け場所変換!H:H,0)),"該当なし")</f>
        <v>該当なし</v>
      </c>
      <c r="F12" s="19" t="str">
        <f>IFERROR(INDEX(貼り付け場所変換!G:G,MATCH(A12&amp;B12&amp;C12&amp;D12,貼り付け場所変換!H:H,0)),"該当なし")</f>
        <v>該当なし</v>
      </c>
    </row>
    <row r="13" spans="1:6">
      <c r="A13" s="19" t="s">
        <v>39</v>
      </c>
      <c r="B13" s="19" t="s">
        <v>40</v>
      </c>
      <c r="C13" s="19">
        <v>2</v>
      </c>
      <c r="D13" s="19" t="s">
        <v>42</v>
      </c>
      <c r="E13" s="20" t="str">
        <f>IFERROR(INDEX(貼り付け場所変換!F:F,MATCH(A13&amp;B13&amp;C13&amp;D13,貼り付け場所変換!H:H,0)),"該当なし")</f>
        <v>該当なし</v>
      </c>
      <c r="F13" s="19" t="str">
        <f>IFERROR(INDEX(貼り付け場所変換!G:G,MATCH(A13&amp;B13&amp;C13&amp;D13,貼り付け場所変換!H:H,0)),"該当なし")</f>
        <v>該当なし</v>
      </c>
    </row>
    <row r="14" spans="1:6">
      <c r="A14" s="19" t="s">
        <v>39</v>
      </c>
      <c r="B14" s="19" t="s">
        <v>40</v>
      </c>
      <c r="C14" s="19">
        <v>3</v>
      </c>
      <c r="D14" s="19" t="s">
        <v>42</v>
      </c>
      <c r="E14" s="20" t="str">
        <f>IFERROR(INDEX(貼り付け場所変換!F:F,MATCH(A14&amp;B14&amp;C14&amp;D14,貼り付け場所変換!H:H,0)),"該当なし")</f>
        <v>該当なし</v>
      </c>
      <c r="F14" s="19" t="str">
        <f>IFERROR(INDEX(貼り付け場所変換!G:G,MATCH(A14&amp;B14&amp;C14&amp;D14,貼り付け場所変換!H:H,0)),"該当なし")</f>
        <v>該当なし</v>
      </c>
    </row>
    <row r="15" spans="1:6">
      <c r="A15" s="19" t="s">
        <v>39</v>
      </c>
      <c r="B15" s="19" t="s">
        <v>40</v>
      </c>
      <c r="C15" s="19">
        <v>4</v>
      </c>
      <c r="D15" s="19" t="s">
        <v>42</v>
      </c>
      <c r="E15" s="20" t="str">
        <f>IFERROR(INDEX(貼り付け場所変換!F:F,MATCH(A15&amp;B15&amp;C15&amp;D15,貼り付け場所変換!H:H,0)),"該当なし")</f>
        <v>該当なし</v>
      </c>
      <c r="F15" s="19" t="str">
        <f>IFERROR(INDEX(貼り付け場所変換!G:G,MATCH(A15&amp;B15&amp;C15&amp;D15,貼り付け場所変換!H:H,0)),"該当なし")</f>
        <v>該当なし</v>
      </c>
    </row>
    <row r="16" spans="1:6">
      <c r="A16" s="19" t="s">
        <v>39</v>
      </c>
      <c r="B16" s="19" t="s">
        <v>40</v>
      </c>
      <c r="C16" s="19">
        <v>5</v>
      </c>
      <c r="D16" s="19" t="s">
        <v>42</v>
      </c>
      <c r="E16" s="20" t="str">
        <f>IFERROR(INDEX(貼り付け場所変換!F:F,MATCH(A16&amp;B16&amp;C16&amp;D16,貼り付け場所変換!H:H,0)),"該当なし")</f>
        <v>該当なし</v>
      </c>
      <c r="F16" s="19" t="str">
        <f>IFERROR(INDEX(貼り付け場所変換!G:G,MATCH(A16&amp;B16&amp;C16&amp;D16,貼り付け場所変換!H:H,0)),"該当なし")</f>
        <v>該当なし</v>
      </c>
    </row>
    <row r="17" spans="1:6">
      <c r="A17" s="19" t="s">
        <v>39</v>
      </c>
      <c r="B17" s="19" t="s">
        <v>40</v>
      </c>
      <c r="C17" s="19">
        <v>6</v>
      </c>
      <c r="D17" s="19" t="s">
        <v>42</v>
      </c>
      <c r="E17" s="20" t="str">
        <f>IFERROR(INDEX(貼り付け場所変換!F:F,MATCH(A17&amp;B17&amp;C17&amp;D17,貼り付け場所変換!H:H,0)),"該当なし")</f>
        <v>該当なし</v>
      </c>
      <c r="F17" s="19" t="str">
        <f>IFERROR(INDEX(貼り付け場所変換!G:G,MATCH(A17&amp;B17&amp;C17&amp;D17,貼り付け場所変換!H:H,0)),"該当なし")</f>
        <v>該当なし</v>
      </c>
    </row>
    <row r="18" spans="1:6">
      <c r="A18" s="19" t="s">
        <v>39</v>
      </c>
      <c r="B18" s="19" t="s">
        <v>40</v>
      </c>
      <c r="C18" s="19">
        <v>7</v>
      </c>
      <c r="D18" s="19" t="s">
        <v>42</v>
      </c>
      <c r="E18" s="20" t="str">
        <f>IFERROR(INDEX(貼り付け場所変換!F:F,MATCH(A18&amp;B18&amp;C18&amp;D18,貼り付け場所変換!H:H,0)),"該当なし")</f>
        <v>該当なし</v>
      </c>
      <c r="F18" s="19" t="str">
        <f>IFERROR(INDEX(貼り付け場所変換!G:G,MATCH(A18&amp;B18&amp;C18&amp;D18,貼り付け場所変換!H:H,0)),"該当なし")</f>
        <v>該当なし</v>
      </c>
    </row>
    <row r="19" spans="1:6">
      <c r="A19" s="19" t="s">
        <v>39</v>
      </c>
      <c r="B19" s="19" t="s">
        <v>40</v>
      </c>
      <c r="C19" s="19">
        <v>8</v>
      </c>
      <c r="D19" s="19" t="s">
        <v>42</v>
      </c>
      <c r="E19" s="20" t="str">
        <f>IFERROR(INDEX(貼り付け場所変換!F:F,MATCH(A19&amp;B19&amp;C19&amp;D19,貼り付け場所変換!H:H,0)),"該当なし")</f>
        <v>該当なし</v>
      </c>
      <c r="F19" s="19" t="str">
        <f>IFERROR(INDEX(貼り付け場所変換!G:G,MATCH(A19&amp;B19&amp;C19&amp;D19,貼り付け場所変換!H:H,0)),"該当なし")</f>
        <v>該当なし</v>
      </c>
    </row>
    <row r="20" spans="1:6">
      <c r="A20" s="19" t="s">
        <v>39</v>
      </c>
      <c r="B20" s="19" t="s">
        <v>40</v>
      </c>
      <c r="C20" s="19">
        <v>9</v>
      </c>
      <c r="D20" s="19" t="s">
        <v>42</v>
      </c>
      <c r="E20" s="20" t="str">
        <f>IFERROR(INDEX(貼り付け場所変換!F:F,MATCH(A20&amp;B20&amp;C20&amp;D20,貼り付け場所変換!H:H,0)),"該当なし")</f>
        <v>該当なし</v>
      </c>
      <c r="F20" s="19" t="str">
        <f>IFERROR(INDEX(貼り付け場所変換!G:G,MATCH(A20&amp;B20&amp;C20&amp;D20,貼り付け場所変換!H:H,0)),"該当なし")</f>
        <v>該当なし</v>
      </c>
    </row>
    <row r="21" spans="1:6">
      <c r="A21" s="19" t="s">
        <v>39</v>
      </c>
      <c r="B21" s="19" t="s">
        <v>40</v>
      </c>
      <c r="C21" s="19">
        <v>10</v>
      </c>
      <c r="D21" s="19" t="s">
        <v>42</v>
      </c>
      <c r="E21" s="20" t="str">
        <f>IFERROR(INDEX(貼り付け場所変換!F:F,MATCH(A21&amp;B21&amp;C21&amp;D21,貼り付け場所変換!H:H,0)),"該当なし")</f>
        <v>該当なし</v>
      </c>
      <c r="F21" s="19" t="str">
        <f>IFERROR(INDEX(貼り付け場所変換!G:G,MATCH(A21&amp;B21&amp;C21&amp;D21,貼り付け場所変換!H:H,0)),"該当なし")</f>
        <v>該当なし</v>
      </c>
    </row>
    <row r="22" spans="1:6">
      <c r="A22" s="19" t="s">
        <v>39</v>
      </c>
      <c r="B22" s="19" t="s">
        <v>40</v>
      </c>
      <c r="C22" s="19">
        <v>1</v>
      </c>
      <c r="D22" s="19" t="s">
        <v>43</v>
      </c>
      <c r="E22" s="20" t="str">
        <f>IFERROR(INDEX(貼り付け場所変換!F:F,MATCH(A22&amp;B22&amp;C22&amp;D22,貼り付け場所変換!H:H,0)),"該当なし")</f>
        <v>該当なし</v>
      </c>
      <c r="F22" s="19" t="str">
        <f>IFERROR(INDEX(貼り付け場所変換!G:G,MATCH(A22&amp;B22&amp;C22&amp;D22,貼り付け場所変換!H:H,0)),"該当なし")</f>
        <v>該当なし</v>
      </c>
    </row>
    <row r="23" spans="1:6">
      <c r="A23" s="19" t="s">
        <v>39</v>
      </c>
      <c r="B23" s="19" t="s">
        <v>40</v>
      </c>
      <c r="C23" s="19">
        <v>2</v>
      </c>
      <c r="D23" s="19" t="s">
        <v>43</v>
      </c>
      <c r="E23" s="20" t="str">
        <f>IFERROR(INDEX(貼り付け場所変換!F:F,MATCH(A23&amp;B23&amp;C23&amp;D23,貼り付け場所変換!H:H,0)),"該当なし")</f>
        <v>該当なし</v>
      </c>
      <c r="F23" s="19" t="str">
        <f>IFERROR(INDEX(貼り付け場所変換!G:G,MATCH(A23&amp;B23&amp;C23&amp;D23,貼り付け場所変換!H:H,0)),"該当なし")</f>
        <v>該当なし</v>
      </c>
    </row>
    <row r="24" spans="1:6">
      <c r="A24" s="19" t="s">
        <v>39</v>
      </c>
      <c r="B24" s="19" t="s">
        <v>40</v>
      </c>
      <c r="C24" s="19">
        <v>3</v>
      </c>
      <c r="D24" s="19" t="s">
        <v>43</v>
      </c>
      <c r="E24" s="20" t="str">
        <f>IFERROR(INDEX(貼り付け場所変換!F:F,MATCH(A24&amp;B24&amp;C24&amp;D24,貼り付け場所変換!H:H,0)),"該当なし")</f>
        <v>該当なし</v>
      </c>
      <c r="F24" s="19" t="str">
        <f>IFERROR(INDEX(貼り付け場所変換!G:G,MATCH(A24&amp;B24&amp;C24&amp;D24,貼り付け場所変換!H:H,0)),"該当なし")</f>
        <v>該当なし</v>
      </c>
    </row>
    <row r="25" spans="1:6">
      <c r="A25" s="19" t="s">
        <v>39</v>
      </c>
      <c r="B25" s="19" t="s">
        <v>40</v>
      </c>
      <c r="C25" s="19">
        <v>4</v>
      </c>
      <c r="D25" s="19" t="s">
        <v>43</v>
      </c>
      <c r="E25" s="20" t="str">
        <f>IFERROR(INDEX(貼り付け場所変換!F:F,MATCH(A25&amp;B25&amp;C25&amp;D25,貼り付け場所変換!H:H,0)),"該当なし")</f>
        <v>該当なし</v>
      </c>
      <c r="F25" s="19" t="str">
        <f>IFERROR(INDEX(貼り付け場所変換!G:G,MATCH(A25&amp;B25&amp;C25&amp;D25,貼り付け場所変換!H:H,0)),"該当なし")</f>
        <v>該当なし</v>
      </c>
    </row>
    <row r="26" spans="1:6">
      <c r="A26" s="19" t="s">
        <v>39</v>
      </c>
      <c r="B26" s="19" t="s">
        <v>40</v>
      </c>
      <c r="C26" s="19">
        <v>5</v>
      </c>
      <c r="D26" s="19" t="s">
        <v>43</v>
      </c>
      <c r="E26" s="20" t="str">
        <f>IFERROR(INDEX(貼り付け場所変換!F:F,MATCH(A26&amp;B26&amp;C26&amp;D26,貼り付け場所変換!H:H,0)),"該当なし")</f>
        <v>該当なし</v>
      </c>
      <c r="F26" s="19" t="str">
        <f>IFERROR(INDEX(貼り付け場所変換!G:G,MATCH(A26&amp;B26&amp;C26&amp;D26,貼り付け場所変換!H:H,0)),"該当なし")</f>
        <v>該当なし</v>
      </c>
    </row>
    <row r="27" spans="1:6">
      <c r="A27" s="19" t="s">
        <v>39</v>
      </c>
      <c r="B27" s="19" t="s">
        <v>40</v>
      </c>
      <c r="C27" s="19">
        <v>6</v>
      </c>
      <c r="D27" s="19" t="s">
        <v>43</v>
      </c>
      <c r="E27" s="20" t="str">
        <f>IFERROR(INDEX(貼り付け場所変換!F:F,MATCH(A27&amp;B27&amp;C27&amp;D27,貼り付け場所変換!H:H,0)),"該当なし")</f>
        <v>該当なし</v>
      </c>
      <c r="F27" s="19" t="str">
        <f>IFERROR(INDEX(貼り付け場所変換!G:G,MATCH(A27&amp;B27&amp;C27&amp;D27,貼り付け場所変換!H:H,0)),"該当なし")</f>
        <v>該当なし</v>
      </c>
    </row>
    <row r="28" spans="1:6">
      <c r="A28" s="19" t="s">
        <v>39</v>
      </c>
      <c r="B28" s="19" t="s">
        <v>40</v>
      </c>
      <c r="C28" s="19">
        <v>7</v>
      </c>
      <c r="D28" s="19" t="s">
        <v>43</v>
      </c>
      <c r="E28" s="20" t="str">
        <f>IFERROR(INDEX(貼り付け場所変換!F:F,MATCH(A28&amp;B28&amp;C28&amp;D28,貼り付け場所変換!H:H,0)),"該当なし")</f>
        <v>該当なし</v>
      </c>
      <c r="F28" s="19" t="str">
        <f>IFERROR(INDEX(貼り付け場所変換!G:G,MATCH(A28&amp;B28&amp;C28&amp;D28,貼り付け場所変換!H:H,0)),"該当なし")</f>
        <v>該当なし</v>
      </c>
    </row>
    <row r="29" spans="1:6">
      <c r="A29" s="19" t="s">
        <v>39</v>
      </c>
      <c r="B29" s="19" t="s">
        <v>40</v>
      </c>
      <c r="C29" s="19">
        <v>8</v>
      </c>
      <c r="D29" s="19" t="s">
        <v>43</v>
      </c>
      <c r="E29" s="20" t="str">
        <f>IFERROR(INDEX(貼り付け場所変換!F:F,MATCH(A29&amp;B29&amp;C29&amp;D29,貼り付け場所変換!H:H,0)),"該当なし")</f>
        <v>該当なし</v>
      </c>
      <c r="F29" s="19" t="str">
        <f>IFERROR(INDEX(貼り付け場所変換!G:G,MATCH(A29&amp;B29&amp;C29&amp;D29,貼り付け場所変換!H:H,0)),"該当なし")</f>
        <v>該当なし</v>
      </c>
    </row>
    <row r="30" spans="1:6">
      <c r="A30" s="19" t="s">
        <v>39</v>
      </c>
      <c r="B30" s="19" t="s">
        <v>40</v>
      </c>
      <c r="C30" s="19">
        <v>9</v>
      </c>
      <c r="D30" s="19" t="s">
        <v>43</v>
      </c>
      <c r="E30" s="20" t="str">
        <f>IFERROR(INDEX(貼り付け場所変換!F:F,MATCH(A30&amp;B30&amp;C30&amp;D30,貼り付け場所変換!H:H,0)),"該当なし")</f>
        <v>該当なし</v>
      </c>
      <c r="F30" s="19" t="str">
        <f>IFERROR(INDEX(貼り付け場所変換!G:G,MATCH(A30&amp;B30&amp;C30&amp;D30,貼り付け場所変換!H:H,0)),"該当なし")</f>
        <v>該当なし</v>
      </c>
    </row>
    <row r="31" spans="1:6">
      <c r="A31" s="19" t="s">
        <v>39</v>
      </c>
      <c r="B31" s="19" t="s">
        <v>40</v>
      </c>
      <c r="C31" s="19">
        <v>10</v>
      </c>
      <c r="D31" s="19" t="s">
        <v>43</v>
      </c>
      <c r="E31" s="20" t="str">
        <f>IFERROR(INDEX(貼り付け場所変換!F:F,MATCH(A31&amp;B31&amp;C31&amp;D31,貼り付け場所変換!H:H,0)),"該当なし")</f>
        <v>該当なし</v>
      </c>
      <c r="F31" s="19" t="str">
        <f>IFERROR(INDEX(貼り付け場所変換!G:G,MATCH(A31&amp;B31&amp;C31&amp;D31,貼り付け場所変換!H:H,0)),"該当なし")</f>
        <v>該当なし</v>
      </c>
    </row>
    <row r="32" spans="1:6">
      <c r="A32" s="19" t="s">
        <v>39</v>
      </c>
      <c r="B32" s="19" t="s">
        <v>44</v>
      </c>
      <c r="C32" s="19">
        <v>1</v>
      </c>
      <c r="D32" s="19" t="s">
        <v>41</v>
      </c>
      <c r="E32" s="20" t="str">
        <f>IFERROR(INDEX(貼り付け場所変換!F:F,MATCH(A32&amp;B32&amp;C32&amp;D32,貼り付け場所変換!H:H,0)),"該当なし")</f>
        <v>該当なし</v>
      </c>
      <c r="F32" s="19" t="str">
        <f>IFERROR(INDEX(貼り付け場所変換!G:G,MATCH(A32&amp;B32&amp;C32&amp;D32,貼り付け場所変換!H:H,0)),"該当なし")</f>
        <v>該当なし</v>
      </c>
    </row>
    <row r="33" spans="1:6">
      <c r="A33" s="19" t="s">
        <v>39</v>
      </c>
      <c r="B33" s="19" t="s">
        <v>44</v>
      </c>
      <c r="C33" s="19">
        <v>2</v>
      </c>
      <c r="D33" s="19" t="s">
        <v>41</v>
      </c>
      <c r="E33" s="20" t="str">
        <f>IFERROR(INDEX(貼り付け場所変換!F:F,MATCH(A33&amp;B33&amp;C33&amp;D33,貼り付け場所変換!H:H,0)),"該当なし")</f>
        <v>該当なし</v>
      </c>
      <c r="F33" s="19" t="str">
        <f>IFERROR(INDEX(貼り付け場所変換!G:G,MATCH(A33&amp;B33&amp;C33&amp;D33,貼り付け場所変換!H:H,0)),"該当なし")</f>
        <v>該当なし</v>
      </c>
    </row>
    <row r="34" spans="1:6">
      <c r="A34" s="19" t="s">
        <v>39</v>
      </c>
      <c r="B34" s="19" t="s">
        <v>44</v>
      </c>
      <c r="C34" s="19">
        <v>3</v>
      </c>
      <c r="D34" s="19" t="s">
        <v>41</v>
      </c>
      <c r="E34" s="20" t="str">
        <f>IFERROR(INDEX(貼り付け場所変換!F:F,MATCH(A34&amp;B34&amp;C34&amp;D34,貼り付け場所変換!H:H,0)),"該当なし")</f>
        <v>該当なし</v>
      </c>
      <c r="F34" s="19" t="str">
        <f>IFERROR(INDEX(貼り付け場所変換!G:G,MATCH(A34&amp;B34&amp;C34&amp;D34,貼り付け場所変換!H:H,0)),"該当なし")</f>
        <v>該当なし</v>
      </c>
    </row>
    <row r="35" spans="1:6">
      <c r="A35" s="19" t="s">
        <v>39</v>
      </c>
      <c r="B35" s="19" t="s">
        <v>44</v>
      </c>
      <c r="C35" s="19">
        <v>4</v>
      </c>
      <c r="D35" s="19" t="s">
        <v>41</v>
      </c>
      <c r="E35" s="20" t="str">
        <f>IFERROR(INDEX(貼り付け場所変換!F:F,MATCH(A35&amp;B35&amp;C35&amp;D35,貼り付け場所変換!H:H,0)),"該当なし")</f>
        <v>該当なし</v>
      </c>
      <c r="F35" s="19" t="str">
        <f>IFERROR(INDEX(貼り付け場所変換!G:G,MATCH(A35&amp;B35&amp;C35&amp;D35,貼り付け場所変換!H:H,0)),"該当なし")</f>
        <v>該当なし</v>
      </c>
    </row>
    <row r="36" spans="1:6">
      <c r="A36" s="19" t="s">
        <v>39</v>
      </c>
      <c r="B36" s="19" t="s">
        <v>44</v>
      </c>
      <c r="C36" s="19">
        <v>5</v>
      </c>
      <c r="D36" s="19" t="s">
        <v>41</v>
      </c>
      <c r="E36" s="20" t="str">
        <f>IFERROR(INDEX(貼り付け場所変換!F:F,MATCH(A36&amp;B36&amp;C36&amp;D36,貼り付け場所変換!H:H,0)),"該当なし")</f>
        <v>該当なし</v>
      </c>
      <c r="F36" s="19" t="str">
        <f>IFERROR(INDEX(貼り付け場所変換!G:G,MATCH(A36&amp;B36&amp;C36&amp;D36,貼り付け場所変換!H:H,0)),"該当なし")</f>
        <v>該当なし</v>
      </c>
    </row>
    <row r="37" spans="1:6">
      <c r="A37" s="19" t="s">
        <v>39</v>
      </c>
      <c r="B37" s="19" t="s">
        <v>44</v>
      </c>
      <c r="C37" s="19">
        <v>6</v>
      </c>
      <c r="D37" s="19" t="s">
        <v>41</v>
      </c>
      <c r="E37" s="20" t="str">
        <f>IFERROR(INDEX(貼り付け場所変換!F:F,MATCH(A37&amp;B37&amp;C37&amp;D37,貼り付け場所変換!H:H,0)),"該当なし")</f>
        <v>該当なし</v>
      </c>
      <c r="F37" s="19" t="str">
        <f>IFERROR(INDEX(貼り付け場所変換!G:G,MATCH(A37&amp;B37&amp;C37&amp;D37,貼り付け場所変換!H:H,0)),"該当なし")</f>
        <v>該当なし</v>
      </c>
    </row>
    <row r="38" spans="1:6">
      <c r="A38" s="19" t="s">
        <v>39</v>
      </c>
      <c r="B38" s="19" t="s">
        <v>44</v>
      </c>
      <c r="C38" s="19">
        <v>7</v>
      </c>
      <c r="D38" s="19" t="s">
        <v>41</v>
      </c>
      <c r="E38" s="20" t="str">
        <f>IFERROR(INDEX(貼り付け場所変換!F:F,MATCH(A38&amp;B38&amp;C38&amp;D38,貼り付け場所変換!H:H,0)),"該当なし")</f>
        <v>該当なし</v>
      </c>
      <c r="F38" s="19" t="str">
        <f>IFERROR(INDEX(貼り付け場所変換!G:G,MATCH(A38&amp;B38&amp;C38&amp;D38,貼り付け場所変換!H:H,0)),"該当なし")</f>
        <v>該当なし</v>
      </c>
    </row>
    <row r="39" spans="1:6">
      <c r="A39" s="19" t="s">
        <v>39</v>
      </c>
      <c r="B39" s="19" t="s">
        <v>44</v>
      </c>
      <c r="C39" s="19">
        <v>8</v>
      </c>
      <c r="D39" s="19" t="s">
        <v>41</v>
      </c>
      <c r="E39" s="20" t="str">
        <f>IFERROR(INDEX(貼り付け場所変換!F:F,MATCH(A39&amp;B39&amp;C39&amp;D39,貼り付け場所変換!H:H,0)),"該当なし")</f>
        <v>該当なし</v>
      </c>
      <c r="F39" s="19" t="str">
        <f>IFERROR(INDEX(貼り付け場所変換!G:G,MATCH(A39&amp;B39&amp;C39&amp;D39,貼り付け場所変換!H:H,0)),"該当なし")</f>
        <v>該当なし</v>
      </c>
    </row>
    <row r="40" spans="1:6">
      <c r="A40" s="19" t="s">
        <v>39</v>
      </c>
      <c r="B40" s="19" t="s">
        <v>44</v>
      </c>
      <c r="C40" s="19">
        <v>9</v>
      </c>
      <c r="D40" s="19" t="s">
        <v>41</v>
      </c>
      <c r="E40" s="20" t="str">
        <f>IFERROR(INDEX(貼り付け場所変換!F:F,MATCH(A40&amp;B40&amp;C40&amp;D40,貼り付け場所変換!H:H,0)),"該当なし")</f>
        <v>該当なし</v>
      </c>
      <c r="F40" s="19" t="str">
        <f>IFERROR(INDEX(貼り付け場所変換!G:G,MATCH(A40&amp;B40&amp;C40&amp;D40,貼り付け場所変換!H:H,0)),"該当なし")</f>
        <v>該当なし</v>
      </c>
    </row>
    <row r="41" spans="1:6">
      <c r="A41" s="19" t="s">
        <v>39</v>
      </c>
      <c r="B41" s="19" t="s">
        <v>44</v>
      </c>
      <c r="C41" s="19">
        <v>10</v>
      </c>
      <c r="D41" s="19" t="s">
        <v>41</v>
      </c>
      <c r="E41" s="20" t="str">
        <f>IFERROR(INDEX(貼り付け場所変換!F:F,MATCH(A41&amp;B41&amp;C41&amp;D41,貼り付け場所変換!H:H,0)),"該当なし")</f>
        <v>該当なし</v>
      </c>
      <c r="F41" s="19" t="str">
        <f>IFERROR(INDEX(貼り付け場所変換!G:G,MATCH(A41&amp;B41&amp;C41&amp;D41,貼り付け場所変換!H:H,0)),"該当なし")</f>
        <v>該当なし</v>
      </c>
    </row>
    <row r="42" spans="1:6">
      <c r="A42" s="19" t="s">
        <v>39</v>
      </c>
      <c r="B42" s="19" t="s">
        <v>44</v>
      </c>
      <c r="C42" s="19">
        <v>1</v>
      </c>
      <c r="D42" s="19" t="s">
        <v>42</v>
      </c>
      <c r="E42" s="20" t="str">
        <f>IFERROR(INDEX(貼り付け場所変換!F:F,MATCH(A42&amp;B42&amp;C42&amp;D42,貼り付け場所変換!H:H,0)),"該当なし")</f>
        <v>該当なし</v>
      </c>
      <c r="F42" s="19" t="str">
        <f>IFERROR(INDEX(貼り付け場所変換!G:G,MATCH(A42&amp;B42&amp;C42&amp;D42,貼り付け場所変換!H:H,0)),"該当なし")</f>
        <v>該当なし</v>
      </c>
    </row>
    <row r="43" spans="1:6">
      <c r="A43" s="19" t="s">
        <v>39</v>
      </c>
      <c r="B43" s="19" t="s">
        <v>44</v>
      </c>
      <c r="C43" s="19">
        <v>2</v>
      </c>
      <c r="D43" s="19" t="s">
        <v>42</v>
      </c>
      <c r="E43" s="20" t="str">
        <f>IFERROR(INDEX(貼り付け場所変換!F:F,MATCH(A43&amp;B43&amp;C43&amp;D43,貼り付け場所変換!H:H,0)),"該当なし")</f>
        <v>該当なし</v>
      </c>
      <c r="F43" s="19" t="str">
        <f>IFERROR(INDEX(貼り付け場所変換!G:G,MATCH(A43&amp;B43&amp;C43&amp;D43,貼り付け場所変換!H:H,0)),"該当なし")</f>
        <v>該当なし</v>
      </c>
    </row>
    <row r="44" spans="1:6">
      <c r="A44" s="19" t="s">
        <v>39</v>
      </c>
      <c r="B44" s="19" t="s">
        <v>44</v>
      </c>
      <c r="C44" s="19">
        <v>3</v>
      </c>
      <c r="D44" s="19" t="s">
        <v>42</v>
      </c>
      <c r="E44" s="20" t="str">
        <f>IFERROR(INDEX(貼り付け場所変換!F:F,MATCH(A44&amp;B44&amp;C44&amp;D44,貼り付け場所変換!H:H,0)),"該当なし")</f>
        <v>該当なし</v>
      </c>
      <c r="F44" s="19" t="str">
        <f>IFERROR(INDEX(貼り付け場所変換!G:G,MATCH(A44&amp;B44&amp;C44&amp;D44,貼り付け場所変換!H:H,0)),"該当なし")</f>
        <v>該当なし</v>
      </c>
    </row>
    <row r="45" spans="1:6">
      <c r="A45" s="19" t="s">
        <v>39</v>
      </c>
      <c r="B45" s="19" t="s">
        <v>44</v>
      </c>
      <c r="C45" s="19">
        <v>4</v>
      </c>
      <c r="D45" s="19" t="s">
        <v>42</v>
      </c>
      <c r="E45" s="20" t="str">
        <f>IFERROR(INDEX(貼り付け場所変換!F:F,MATCH(A45&amp;B45&amp;C45&amp;D45,貼り付け場所変換!H:H,0)),"該当なし")</f>
        <v>該当なし</v>
      </c>
      <c r="F45" s="19" t="str">
        <f>IFERROR(INDEX(貼り付け場所変換!G:G,MATCH(A45&amp;B45&amp;C45&amp;D45,貼り付け場所変換!H:H,0)),"該当なし")</f>
        <v>該当なし</v>
      </c>
    </row>
    <row r="46" spans="1:6">
      <c r="A46" s="19" t="s">
        <v>39</v>
      </c>
      <c r="B46" s="19" t="s">
        <v>44</v>
      </c>
      <c r="C46" s="19">
        <v>5</v>
      </c>
      <c r="D46" s="19" t="s">
        <v>42</v>
      </c>
      <c r="E46" s="20" t="str">
        <f>IFERROR(INDEX(貼り付け場所変換!F:F,MATCH(A46&amp;B46&amp;C46&amp;D46,貼り付け場所変換!H:H,0)),"該当なし")</f>
        <v>該当なし</v>
      </c>
      <c r="F46" s="19" t="str">
        <f>IFERROR(INDEX(貼り付け場所変換!G:G,MATCH(A46&amp;B46&amp;C46&amp;D46,貼り付け場所変換!H:H,0)),"該当なし")</f>
        <v>該当なし</v>
      </c>
    </row>
    <row r="47" spans="1:6">
      <c r="A47" s="19" t="s">
        <v>39</v>
      </c>
      <c r="B47" s="19" t="s">
        <v>44</v>
      </c>
      <c r="C47" s="19">
        <v>6</v>
      </c>
      <c r="D47" s="19" t="s">
        <v>42</v>
      </c>
      <c r="E47" s="20" t="str">
        <f>IFERROR(INDEX(貼り付け場所変換!F:F,MATCH(A47&amp;B47&amp;C47&amp;D47,貼り付け場所変換!H:H,0)),"該当なし")</f>
        <v>該当なし</v>
      </c>
      <c r="F47" s="19" t="str">
        <f>IFERROR(INDEX(貼り付け場所変換!G:G,MATCH(A47&amp;B47&amp;C47&amp;D47,貼り付け場所変換!H:H,0)),"該当なし")</f>
        <v>該当なし</v>
      </c>
    </row>
    <row r="48" spans="1:6">
      <c r="A48" s="19" t="s">
        <v>39</v>
      </c>
      <c r="B48" s="19" t="s">
        <v>44</v>
      </c>
      <c r="C48" s="19">
        <v>7</v>
      </c>
      <c r="D48" s="19" t="s">
        <v>42</v>
      </c>
      <c r="E48" s="20" t="str">
        <f>IFERROR(INDEX(貼り付け場所変換!F:F,MATCH(A48&amp;B48&amp;C48&amp;D48,貼り付け場所変換!H:H,0)),"該当なし")</f>
        <v>該当なし</v>
      </c>
      <c r="F48" s="19" t="str">
        <f>IFERROR(INDEX(貼り付け場所変換!G:G,MATCH(A48&amp;B48&amp;C48&amp;D48,貼り付け場所変換!H:H,0)),"該当なし")</f>
        <v>該当なし</v>
      </c>
    </row>
    <row r="49" spans="1:6">
      <c r="A49" s="19" t="s">
        <v>39</v>
      </c>
      <c r="B49" s="19" t="s">
        <v>44</v>
      </c>
      <c r="C49" s="19">
        <v>8</v>
      </c>
      <c r="D49" s="19" t="s">
        <v>42</v>
      </c>
      <c r="E49" s="20" t="str">
        <f>IFERROR(INDEX(貼り付け場所変換!F:F,MATCH(A49&amp;B49&amp;C49&amp;D49,貼り付け場所変換!H:H,0)),"該当なし")</f>
        <v>該当なし</v>
      </c>
      <c r="F49" s="19" t="str">
        <f>IFERROR(INDEX(貼り付け場所変換!G:G,MATCH(A49&amp;B49&amp;C49&amp;D49,貼り付け場所変換!H:H,0)),"該当なし")</f>
        <v>該当なし</v>
      </c>
    </row>
    <row r="50" spans="1:6">
      <c r="A50" s="19" t="s">
        <v>39</v>
      </c>
      <c r="B50" s="19" t="s">
        <v>44</v>
      </c>
      <c r="C50" s="19">
        <v>9</v>
      </c>
      <c r="D50" s="19" t="s">
        <v>42</v>
      </c>
      <c r="E50" s="20" t="str">
        <f>IFERROR(INDEX(貼り付け場所変換!F:F,MATCH(A50&amp;B50&amp;C50&amp;D50,貼り付け場所変換!H:H,0)),"該当なし")</f>
        <v>該当なし</v>
      </c>
      <c r="F50" s="19" t="str">
        <f>IFERROR(INDEX(貼り付け場所変換!G:G,MATCH(A50&amp;B50&amp;C50&amp;D50,貼り付け場所変換!H:H,0)),"該当なし")</f>
        <v>該当なし</v>
      </c>
    </row>
    <row r="51" spans="1:6">
      <c r="A51" s="19" t="s">
        <v>39</v>
      </c>
      <c r="B51" s="19" t="s">
        <v>44</v>
      </c>
      <c r="C51" s="19">
        <v>10</v>
      </c>
      <c r="D51" s="19" t="s">
        <v>42</v>
      </c>
      <c r="E51" s="20" t="str">
        <f>IFERROR(INDEX(貼り付け場所変換!F:F,MATCH(A51&amp;B51&amp;C51&amp;D51,貼り付け場所変換!H:H,0)),"該当なし")</f>
        <v>該当なし</v>
      </c>
      <c r="F51" s="19" t="str">
        <f>IFERROR(INDEX(貼り付け場所変換!G:G,MATCH(A51&amp;B51&amp;C51&amp;D51,貼り付け場所変換!H:H,0)),"該当なし")</f>
        <v>該当なし</v>
      </c>
    </row>
    <row r="52" spans="1:6">
      <c r="A52" s="19" t="s">
        <v>39</v>
      </c>
      <c r="B52" s="19" t="s">
        <v>44</v>
      </c>
      <c r="C52" s="19">
        <v>1</v>
      </c>
      <c r="D52" s="19" t="s">
        <v>43</v>
      </c>
      <c r="E52" s="20" t="str">
        <f>IFERROR(INDEX(貼り付け場所変換!F:F,MATCH(A52&amp;B52&amp;C52&amp;D52,貼り付け場所変換!H:H,0)),"該当なし")</f>
        <v>該当なし</v>
      </c>
      <c r="F52" s="19" t="str">
        <f>IFERROR(INDEX(貼り付け場所変換!G:G,MATCH(A52&amp;B52&amp;C52&amp;D52,貼り付け場所変換!H:H,0)),"該当なし")</f>
        <v>該当なし</v>
      </c>
    </row>
    <row r="53" spans="1:6">
      <c r="A53" s="19" t="s">
        <v>39</v>
      </c>
      <c r="B53" s="19" t="s">
        <v>44</v>
      </c>
      <c r="C53" s="19">
        <v>2</v>
      </c>
      <c r="D53" s="19" t="s">
        <v>43</v>
      </c>
      <c r="E53" s="20" t="str">
        <f>IFERROR(INDEX(貼り付け場所変換!F:F,MATCH(A53&amp;B53&amp;C53&amp;D53,貼り付け場所変換!H:H,0)),"該当なし")</f>
        <v>該当なし</v>
      </c>
      <c r="F53" s="19" t="str">
        <f>IFERROR(INDEX(貼り付け場所変換!G:G,MATCH(A53&amp;B53&amp;C53&amp;D53,貼り付け場所変換!H:H,0)),"該当なし")</f>
        <v>該当なし</v>
      </c>
    </row>
    <row r="54" spans="1:6">
      <c r="A54" s="19" t="s">
        <v>39</v>
      </c>
      <c r="B54" s="19" t="s">
        <v>44</v>
      </c>
      <c r="C54" s="19">
        <v>3</v>
      </c>
      <c r="D54" s="19" t="s">
        <v>43</v>
      </c>
      <c r="E54" s="20" t="str">
        <f>IFERROR(INDEX(貼り付け場所変換!F:F,MATCH(A54&amp;B54&amp;C54&amp;D54,貼り付け場所変換!H:H,0)),"該当なし")</f>
        <v>該当なし</v>
      </c>
      <c r="F54" s="19" t="str">
        <f>IFERROR(INDEX(貼り付け場所変換!G:G,MATCH(A54&amp;B54&amp;C54&amp;D54,貼り付け場所変換!H:H,0)),"該当なし")</f>
        <v>該当なし</v>
      </c>
    </row>
    <row r="55" spans="1:6">
      <c r="A55" s="19" t="s">
        <v>39</v>
      </c>
      <c r="B55" s="19" t="s">
        <v>44</v>
      </c>
      <c r="C55" s="19">
        <v>4</v>
      </c>
      <c r="D55" s="19" t="s">
        <v>43</v>
      </c>
      <c r="E55" s="20" t="str">
        <f>IFERROR(INDEX(貼り付け場所変換!F:F,MATCH(A55&amp;B55&amp;C55&amp;D55,貼り付け場所変換!H:H,0)),"該当なし")</f>
        <v>該当なし</v>
      </c>
      <c r="F55" s="19" t="str">
        <f>IFERROR(INDEX(貼り付け場所変換!G:G,MATCH(A55&amp;B55&amp;C55&amp;D55,貼り付け場所変換!H:H,0)),"該当なし")</f>
        <v>該当なし</v>
      </c>
    </row>
    <row r="56" spans="1:6">
      <c r="A56" s="19" t="s">
        <v>39</v>
      </c>
      <c r="B56" s="19" t="s">
        <v>44</v>
      </c>
      <c r="C56" s="19">
        <v>5</v>
      </c>
      <c r="D56" s="19" t="s">
        <v>43</v>
      </c>
      <c r="E56" s="20" t="str">
        <f>IFERROR(INDEX(貼り付け場所変換!F:F,MATCH(A56&amp;B56&amp;C56&amp;D56,貼り付け場所変換!H:H,0)),"該当なし")</f>
        <v>該当なし</v>
      </c>
      <c r="F56" s="19" t="str">
        <f>IFERROR(INDEX(貼り付け場所変換!G:G,MATCH(A56&amp;B56&amp;C56&amp;D56,貼り付け場所変換!H:H,0)),"該当なし")</f>
        <v>該当なし</v>
      </c>
    </row>
    <row r="57" spans="1:6">
      <c r="A57" s="19" t="s">
        <v>39</v>
      </c>
      <c r="B57" s="19" t="s">
        <v>44</v>
      </c>
      <c r="C57" s="19">
        <v>6</v>
      </c>
      <c r="D57" s="19" t="s">
        <v>43</v>
      </c>
      <c r="E57" s="20" t="str">
        <f>IFERROR(INDEX(貼り付け場所変換!F:F,MATCH(A57&amp;B57&amp;C57&amp;D57,貼り付け場所変換!H:H,0)),"該当なし")</f>
        <v>該当なし</v>
      </c>
      <c r="F57" s="19" t="str">
        <f>IFERROR(INDEX(貼り付け場所変換!G:G,MATCH(A57&amp;B57&amp;C57&amp;D57,貼り付け場所変換!H:H,0)),"該当なし")</f>
        <v>該当なし</v>
      </c>
    </row>
    <row r="58" spans="1:6">
      <c r="A58" s="19" t="s">
        <v>39</v>
      </c>
      <c r="B58" s="19" t="s">
        <v>44</v>
      </c>
      <c r="C58" s="19">
        <v>7</v>
      </c>
      <c r="D58" s="19" t="s">
        <v>43</v>
      </c>
      <c r="E58" s="20" t="str">
        <f>IFERROR(INDEX(貼り付け場所変換!F:F,MATCH(A58&amp;B58&amp;C58&amp;D58,貼り付け場所変換!H:H,0)),"該当なし")</f>
        <v>該当なし</v>
      </c>
      <c r="F58" s="19" t="str">
        <f>IFERROR(INDEX(貼り付け場所変換!G:G,MATCH(A58&amp;B58&amp;C58&amp;D58,貼り付け場所変換!H:H,0)),"該当なし")</f>
        <v>該当なし</v>
      </c>
    </row>
    <row r="59" spans="1:6">
      <c r="A59" s="19" t="s">
        <v>39</v>
      </c>
      <c r="B59" s="19" t="s">
        <v>44</v>
      </c>
      <c r="C59" s="19">
        <v>8</v>
      </c>
      <c r="D59" s="19" t="s">
        <v>43</v>
      </c>
      <c r="E59" s="20" t="str">
        <f>IFERROR(INDEX(貼り付け場所変換!F:F,MATCH(A59&amp;B59&amp;C59&amp;D59,貼り付け場所変換!H:H,0)),"該当なし")</f>
        <v>該当なし</v>
      </c>
      <c r="F59" s="19" t="str">
        <f>IFERROR(INDEX(貼り付け場所変換!G:G,MATCH(A59&amp;B59&amp;C59&amp;D59,貼り付け場所変換!H:H,0)),"該当なし")</f>
        <v>該当なし</v>
      </c>
    </row>
    <row r="60" spans="1:6">
      <c r="A60" s="19" t="s">
        <v>39</v>
      </c>
      <c r="B60" s="19" t="s">
        <v>44</v>
      </c>
      <c r="C60" s="19">
        <v>9</v>
      </c>
      <c r="D60" s="19" t="s">
        <v>43</v>
      </c>
      <c r="E60" s="20" t="str">
        <f>IFERROR(INDEX(貼り付け場所変換!F:F,MATCH(A60&amp;B60&amp;C60&amp;D60,貼り付け場所変換!H:H,0)),"該当なし")</f>
        <v>該当なし</v>
      </c>
      <c r="F60" s="19" t="str">
        <f>IFERROR(INDEX(貼り付け場所変換!G:G,MATCH(A60&amp;B60&amp;C60&amp;D60,貼り付け場所変換!H:H,0)),"該当なし")</f>
        <v>該当なし</v>
      </c>
    </row>
    <row r="61" spans="1:6">
      <c r="A61" s="19" t="s">
        <v>39</v>
      </c>
      <c r="B61" s="19" t="s">
        <v>44</v>
      </c>
      <c r="C61" s="19">
        <v>10</v>
      </c>
      <c r="D61" s="19" t="s">
        <v>43</v>
      </c>
      <c r="E61" s="20" t="str">
        <f>IFERROR(INDEX(貼り付け場所変換!F:F,MATCH(A61&amp;B61&amp;C61&amp;D61,貼り付け場所変換!H:H,0)),"該当なし")</f>
        <v>該当なし</v>
      </c>
      <c r="F61" s="19" t="str">
        <f>IFERROR(INDEX(貼り付け場所変換!G:G,MATCH(A61&amp;B61&amp;C61&amp;D61,貼り付け場所変換!H:H,0)),"該当なし")</f>
        <v>該当なし</v>
      </c>
    </row>
    <row r="62" spans="1:6">
      <c r="A62" s="19" t="s">
        <v>39</v>
      </c>
      <c r="B62" s="19" t="s">
        <v>45</v>
      </c>
      <c r="C62" s="19">
        <v>1</v>
      </c>
      <c r="D62" s="19" t="s">
        <v>41</v>
      </c>
      <c r="E62" s="20" t="str">
        <f>IFERROR(INDEX(貼り付け場所変換!F:F,MATCH(A62&amp;B62&amp;C62&amp;D62,貼り付け場所変換!H:H,0)),"該当なし")</f>
        <v>該当なし</v>
      </c>
      <c r="F62" s="19" t="str">
        <f>IFERROR(INDEX(貼り付け場所変換!G:G,MATCH(A62&amp;B62&amp;C62&amp;D62,貼り付け場所変換!H:H,0)),"該当なし")</f>
        <v>該当なし</v>
      </c>
    </row>
    <row r="63" spans="1:6">
      <c r="A63" s="19" t="s">
        <v>39</v>
      </c>
      <c r="B63" s="19" t="s">
        <v>45</v>
      </c>
      <c r="C63" s="19">
        <v>2</v>
      </c>
      <c r="D63" s="19" t="s">
        <v>41</v>
      </c>
      <c r="E63" s="20" t="str">
        <f>IFERROR(INDEX(貼り付け場所変換!F:F,MATCH(A63&amp;B63&amp;C63&amp;D63,貼り付け場所変換!H:H,0)),"該当なし")</f>
        <v>該当なし</v>
      </c>
      <c r="F63" s="19" t="str">
        <f>IFERROR(INDEX(貼り付け場所変換!G:G,MATCH(A63&amp;B63&amp;C63&amp;D63,貼り付け場所変換!H:H,0)),"該当なし")</f>
        <v>該当なし</v>
      </c>
    </row>
    <row r="64" spans="1:6">
      <c r="A64" s="19" t="s">
        <v>39</v>
      </c>
      <c r="B64" s="19" t="s">
        <v>45</v>
      </c>
      <c r="C64" s="19">
        <v>3</v>
      </c>
      <c r="D64" s="19" t="s">
        <v>41</v>
      </c>
      <c r="E64" s="20" t="str">
        <f>IFERROR(INDEX(貼り付け場所変換!F:F,MATCH(A64&amp;B64&amp;C64&amp;D64,貼り付け場所変換!H:H,0)),"該当なし")</f>
        <v>該当なし</v>
      </c>
      <c r="F64" s="19" t="str">
        <f>IFERROR(INDEX(貼り付け場所変換!G:G,MATCH(A64&amp;B64&amp;C64&amp;D64,貼り付け場所変換!H:H,0)),"該当なし")</f>
        <v>該当なし</v>
      </c>
    </row>
    <row r="65" spans="1:6">
      <c r="A65" s="19" t="s">
        <v>39</v>
      </c>
      <c r="B65" s="19" t="s">
        <v>45</v>
      </c>
      <c r="C65" s="19">
        <v>4</v>
      </c>
      <c r="D65" s="19" t="s">
        <v>41</v>
      </c>
      <c r="E65" s="20" t="str">
        <f>IFERROR(INDEX(貼り付け場所変換!F:F,MATCH(A65&amp;B65&amp;C65&amp;D65,貼り付け場所変換!H:H,0)),"該当なし")</f>
        <v>該当なし</v>
      </c>
      <c r="F65" s="19" t="str">
        <f>IFERROR(INDEX(貼り付け場所変換!G:G,MATCH(A65&amp;B65&amp;C65&amp;D65,貼り付け場所変換!H:H,0)),"該当なし")</f>
        <v>該当なし</v>
      </c>
    </row>
    <row r="66" spans="1:6">
      <c r="A66" s="19" t="s">
        <v>39</v>
      </c>
      <c r="B66" s="19" t="s">
        <v>45</v>
      </c>
      <c r="C66" s="19">
        <v>5</v>
      </c>
      <c r="D66" s="19" t="s">
        <v>41</v>
      </c>
      <c r="E66" s="20" t="str">
        <f>IFERROR(INDEX(貼り付け場所変換!F:F,MATCH(A66&amp;B66&amp;C66&amp;D66,貼り付け場所変換!H:H,0)),"該当なし")</f>
        <v>該当なし</v>
      </c>
      <c r="F66" s="19" t="str">
        <f>IFERROR(INDEX(貼り付け場所変換!G:G,MATCH(A66&amp;B66&amp;C66&amp;D66,貼り付け場所変換!H:H,0)),"該当なし")</f>
        <v>該当なし</v>
      </c>
    </row>
    <row r="67" spans="1:6">
      <c r="A67" s="19" t="s">
        <v>39</v>
      </c>
      <c r="B67" s="19" t="s">
        <v>45</v>
      </c>
      <c r="C67" s="19">
        <v>6</v>
      </c>
      <c r="D67" s="19" t="s">
        <v>41</v>
      </c>
      <c r="E67" s="20" t="str">
        <f>IFERROR(INDEX(貼り付け場所変換!F:F,MATCH(A67&amp;B67&amp;C67&amp;D67,貼り付け場所変換!H:H,0)),"該当なし")</f>
        <v>該当なし</v>
      </c>
      <c r="F67" s="19" t="str">
        <f>IFERROR(INDEX(貼り付け場所変換!G:G,MATCH(A67&amp;B67&amp;C67&amp;D67,貼り付け場所変換!H:H,0)),"該当なし")</f>
        <v>該当なし</v>
      </c>
    </row>
    <row r="68" spans="1:6">
      <c r="A68" s="19" t="s">
        <v>39</v>
      </c>
      <c r="B68" s="19" t="s">
        <v>45</v>
      </c>
      <c r="C68" s="19">
        <v>7</v>
      </c>
      <c r="D68" s="19" t="s">
        <v>41</v>
      </c>
      <c r="E68" s="20" t="str">
        <f>IFERROR(INDEX(貼り付け場所変換!F:F,MATCH(A68&amp;B68&amp;C68&amp;D68,貼り付け場所変換!H:H,0)),"該当なし")</f>
        <v>該当なし</v>
      </c>
      <c r="F68" s="19" t="str">
        <f>IFERROR(INDEX(貼り付け場所変換!G:G,MATCH(A68&amp;B68&amp;C68&amp;D68,貼り付け場所変換!H:H,0)),"該当なし")</f>
        <v>該当なし</v>
      </c>
    </row>
    <row r="69" spans="1:6">
      <c r="A69" s="19" t="s">
        <v>39</v>
      </c>
      <c r="B69" s="19" t="s">
        <v>45</v>
      </c>
      <c r="C69" s="19">
        <v>8</v>
      </c>
      <c r="D69" s="19" t="s">
        <v>41</v>
      </c>
      <c r="E69" s="20" t="str">
        <f>IFERROR(INDEX(貼り付け場所変換!F:F,MATCH(A69&amp;B69&amp;C69&amp;D69,貼り付け場所変換!H:H,0)),"該当なし")</f>
        <v>該当なし</v>
      </c>
      <c r="F69" s="19" t="str">
        <f>IFERROR(INDEX(貼り付け場所変換!G:G,MATCH(A69&amp;B69&amp;C69&amp;D69,貼り付け場所変換!H:H,0)),"該当なし")</f>
        <v>該当なし</v>
      </c>
    </row>
    <row r="70" spans="1:6">
      <c r="A70" s="19" t="s">
        <v>39</v>
      </c>
      <c r="B70" s="19" t="s">
        <v>45</v>
      </c>
      <c r="C70" s="19">
        <v>9</v>
      </c>
      <c r="D70" s="19" t="s">
        <v>41</v>
      </c>
      <c r="E70" s="20" t="str">
        <f>IFERROR(INDEX(貼り付け場所変換!F:F,MATCH(A70&amp;B70&amp;C70&amp;D70,貼り付け場所変換!H:H,0)),"該当なし")</f>
        <v>該当なし</v>
      </c>
      <c r="F70" s="19" t="str">
        <f>IFERROR(INDEX(貼り付け場所変換!G:G,MATCH(A70&amp;B70&amp;C70&amp;D70,貼り付け場所変換!H:H,0)),"該当なし")</f>
        <v>該当なし</v>
      </c>
    </row>
    <row r="71" spans="1:6">
      <c r="A71" s="19" t="s">
        <v>39</v>
      </c>
      <c r="B71" s="19" t="s">
        <v>45</v>
      </c>
      <c r="C71" s="19">
        <v>10</v>
      </c>
      <c r="D71" s="19" t="s">
        <v>41</v>
      </c>
      <c r="E71" s="20" t="str">
        <f>IFERROR(INDEX(貼り付け場所変換!F:F,MATCH(A71&amp;B71&amp;C71&amp;D71,貼り付け場所変換!H:H,0)),"該当なし")</f>
        <v>該当なし</v>
      </c>
      <c r="F71" s="19" t="str">
        <f>IFERROR(INDEX(貼り付け場所変換!G:G,MATCH(A71&amp;B71&amp;C71&amp;D71,貼り付け場所変換!H:H,0)),"該当なし")</f>
        <v>該当なし</v>
      </c>
    </row>
    <row r="72" spans="1:6">
      <c r="A72" s="19" t="s">
        <v>39</v>
      </c>
      <c r="B72" s="19" t="s">
        <v>45</v>
      </c>
      <c r="C72" s="19">
        <v>1</v>
      </c>
      <c r="D72" s="19" t="s">
        <v>42</v>
      </c>
      <c r="E72" s="20" t="str">
        <f>IFERROR(INDEX(貼り付け場所変換!F:F,MATCH(A72&amp;B72&amp;C72&amp;D72,貼り付け場所変換!H:H,0)),"該当なし")</f>
        <v>該当なし</v>
      </c>
      <c r="F72" s="19" t="str">
        <f>IFERROR(INDEX(貼り付け場所変換!G:G,MATCH(A72&amp;B72&amp;C72&amp;D72,貼り付け場所変換!H:H,0)),"該当なし")</f>
        <v>該当なし</v>
      </c>
    </row>
    <row r="73" spans="1:6">
      <c r="A73" s="19" t="s">
        <v>39</v>
      </c>
      <c r="B73" s="19" t="s">
        <v>45</v>
      </c>
      <c r="C73" s="19">
        <v>2</v>
      </c>
      <c r="D73" s="19" t="s">
        <v>42</v>
      </c>
      <c r="E73" s="20" t="str">
        <f>IFERROR(INDEX(貼り付け場所変換!F:F,MATCH(A73&amp;B73&amp;C73&amp;D73,貼り付け場所変換!H:H,0)),"該当なし")</f>
        <v>該当なし</v>
      </c>
      <c r="F73" s="19" t="str">
        <f>IFERROR(INDEX(貼り付け場所変換!G:G,MATCH(A73&amp;B73&amp;C73&amp;D73,貼り付け場所変換!H:H,0)),"該当なし")</f>
        <v>該当なし</v>
      </c>
    </row>
    <row r="74" spans="1:6">
      <c r="A74" s="19" t="s">
        <v>39</v>
      </c>
      <c r="B74" s="19" t="s">
        <v>45</v>
      </c>
      <c r="C74" s="19">
        <v>3</v>
      </c>
      <c r="D74" s="19" t="s">
        <v>42</v>
      </c>
      <c r="E74" s="20" t="str">
        <f>IFERROR(INDEX(貼り付け場所変換!F:F,MATCH(A74&amp;B74&amp;C74&amp;D74,貼り付け場所変換!H:H,0)),"該当なし")</f>
        <v>該当なし</v>
      </c>
      <c r="F74" s="19" t="str">
        <f>IFERROR(INDEX(貼り付け場所変換!G:G,MATCH(A74&amp;B74&amp;C74&amp;D74,貼り付け場所変換!H:H,0)),"該当なし")</f>
        <v>該当なし</v>
      </c>
    </row>
    <row r="75" spans="1:6">
      <c r="A75" s="19" t="s">
        <v>39</v>
      </c>
      <c r="B75" s="19" t="s">
        <v>45</v>
      </c>
      <c r="C75" s="19">
        <v>4</v>
      </c>
      <c r="D75" s="19" t="s">
        <v>42</v>
      </c>
      <c r="E75" s="20" t="str">
        <f>IFERROR(INDEX(貼り付け場所変換!F:F,MATCH(A75&amp;B75&amp;C75&amp;D75,貼り付け場所変換!H:H,0)),"該当なし")</f>
        <v>該当なし</v>
      </c>
      <c r="F75" s="19" t="str">
        <f>IFERROR(INDEX(貼り付け場所変換!G:G,MATCH(A75&amp;B75&amp;C75&amp;D75,貼り付け場所変換!H:H,0)),"該当なし")</f>
        <v>該当なし</v>
      </c>
    </row>
    <row r="76" spans="1:6">
      <c r="A76" s="19" t="s">
        <v>39</v>
      </c>
      <c r="B76" s="19" t="s">
        <v>45</v>
      </c>
      <c r="C76" s="19">
        <v>5</v>
      </c>
      <c r="D76" s="19" t="s">
        <v>42</v>
      </c>
      <c r="E76" s="20" t="str">
        <f>IFERROR(INDEX(貼り付け場所変換!F:F,MATCH(A76&amp;B76&amp;C76&amp;D76,貼り付け場所変換!H:H,0)),"該当なし")</f>
        <v>該当なし</v>
      </c>
      <c r="F76" s="19" t="str">
        <f>IFERROR(INDEX(貼り付け場所変換!G:G,MATCH(A76&amp;B76&amp;C76&amp;D76,貼り付け場所変換!H:H,0)),"該当なし")</f>
        <v>該当なし</v>
      </c>
    </row>
    <row r="77" spans="1:6">
      <c r="A77" s="19" t="s">
        <v>39</v>
      </c>
      <c r="B77" s="19" t="s">
        <v>45</v>
      </c>
      <c r="C77" s="19">
        <v>6</v>
      </c>
      <c r="D77" s="19" t="s">
        <v>42</v>
      </c>
      <c r="E77" s="20" t="str">
        <f>IFERROR(INDEX(貼り付け場所変換!F:F,MATCH(A77&amp;B77&amp;C77&amp;D77,貼り付け場所変換!H:H,0)),"該当なし")</f>
        <v>該当なし</v>
      </c>
      <c r="F77" s="19" t="str">
        <f>IFERROR(INDEX(貼り付け場所変換!G:G,MATCH(A77&amp;B77&amp;C77&amp;D77,貼り付け場所変換!H:H,0)),"該当なし")</f>
        <v>該当なし</v>
      </c>
    </row>
    <row r="78" spans="1:6">
      <c r="A78" s="19" t="s">
        <v>39</v>
      </c>
      <c r="B78" s="19" t="s">
        <v>45</v>
      </c>
      <c r="C78" s="19">
        <v>7</v>
      </c>
      <c r="D78" s="19" t="s">
        <v>42</v>
      </c>
      <c r="E78" s="20" t="str">
        <f>IFERROR(INDEX(貼り付け場所変換!F:F,MATCH(A78&amp;B78&amp;C78&amp;D78,貼り付け場所変換!H:H,0)),"該当なし")</f>
        <v>該当なし</v>
      </c>
      <c r="F78" s="19" t="str">
        <f>IFERROR(INDEX(貼り付け場所変換!G:G,MATCH(A78&amp;B78&amp;C78&amp;D78,貼り付け場所変換!H:H,0)),"該当なし")</f>
        <v>該当なし</v>
      </c>
    </row>
    <row r="79" spans="1:6">
      <c r="A79" s="19" t="s">
        <v>39</v>
      </c>
      <c r="B79" s="19" t="s">
        <v>45</v>
      </c>
      <c r="C79" s="19">
        <v>8</v>
      </c>
      <c r="D79" s="19" t="s">
        <v>42</v>
      </c>
      <c r="E79" s="20" t="str">
        <f>IFERROR(INDEX(貼り付け場所変換!F:F,MATCH(A79&amp;B79&amp;C79&amp;D79,貼り付け場所変換!H:H,0)),"該当なし")</f>
        <v>該当なし</v>
      </c>
      <c r="F79" s="19" t="str">
        <f>IFERROR(INDEX(貼り付け場所変換!G:G,MATCH(A79&amp;B79&amp;C79&amp;D79,貼り付け場所変換!H:H,0)),"該当なし")</f>
        <v>該当なし</v>
      </c>
    </row>
    <row r="80" spans="1:6">
      <c r="A80" s="19" t="s">
        <v>39</v>
      </c>
      <c r="B80" s="19" t="s">
        <v>45</v>
      </c>
      <c r="C80" s="19">
        <v>9</v>
      </c>
      <c r="D80" s="19" t="s">
        <v>42</v>
      </c>
      <c r="E80" s="20" t="str">
        <f>IFERROR(INDEX(貼り付け場所変換!F:F,MATCH(A80&amp;B80&amp;C80&amp;D80,貼り付け場所変換!H:H,0)),"該当なし")</f>
        <v>該当なし</v>
      </c>
      <c r="F80" s="19" t="str">
        <f>IFERROR(INDEX(貼り付け場所変換!G:G,MATCH(A80&amp;B80&amp;C80&amp;D80,貼り付け場所変換!H:H,0)),"該当なし")</f>
        <v>該当なし</v>
      </c>
    </row>
    <row r="81" spans="1:6">
      <c r="A81" s="19" t="s">
        <v>39</v>
      </c>
      <c r="B81" s="19" t="s">
        <v>45</v>
      </c>
      <c r="C81" s="19">
        <v>10</v>
      </c>
      <c r="D81" s="19" t="s">
        <v>42</v>
      </c>
      <c r="E81" s="20" t="str">
        <f>IFERROR(INDEX(貼り付け場所変換!F:F,MATCH(A81&amp;B81&amp;C81&amp;D81,貼り付け場所変換!H:H,0)),"該当なし")</f>
        <v>該当なし</v>
      </c>
      <c r="F81" s="19" t="str">
        <f>IFERROR(INDEX(貼り付け場所変換!G:G,MATCH(A81&amp;B81&amp;C81&amp;D81,貼り付け場所変換!H:H,0)),"該当なし")</f>
        <v>該当なし</v>
      </c>
    </row>
    <row r="82" spans="1:6">
      <c r="A82" s="19" t="s">
        <v>39</v>
      </c>
      <c r="B82" s="19" t="s">
        <v>45</v>
      </c>
      <c r="C82" s="19">
        <v>1</v>
      </c>
      <c r="D82" s="19" t="s">
        <v>43</v>
      </c>
      <c r="E82" s="20" t="str">
        <f>IFERROR(INDEX(貼り付け場所変換!F:F,MATCH(A82&amp;B82&amp;C82&amp;D82,貼り付け場所変換!H:H,0)),"該当なし")</f>
        <v>該当なし</v>
      </c>
      <c r="F82" s="19" t="str">
        <f>IFERROR(INDEX(貼り付け場所変換!G:G,MATCH(A82&amp;B82&amp;C82&amp;D82,貼り付け場所変換!H:H,0)),"該当なし")</f>
        <v>該当なし</v>
      </c>
    </row>
    <row r="83" spans="1:6">
      <c r="A83" s="19" t="s">
        <v>39</v>
      </c>
      <c r="B83" s="19" t="s">
        <v>45</v>
      </c>
      <c r="C83" s="19">
        <v>2</v>
      </c>
      <c r="D83" s="19" t="s">
        <v>43</v>
      </c>
      <c r="E83" s="20" t="str">
        <f>IFERROR(INDEX(貼り付け場所変換!F:F,MATCH(A83&amp;B83&amp;C83&amp;D83,貼り付け場所変換!H:H,0)),"該当なし")</f>
        <v>該当なし</v>
      </c>
      <c r="F83" s="19" t="str">
        <f>IFERROR(INDEX(貼り付け場所変換!G:G,MATCH(A83&amp;B83&amp;C83&amp;D83,貼り付け場所変換!H:H,0)),"該当なし")</f>
        <v>該当なし</v>
      </c>
    </row>
    <row r="84" spans="1:6">
      <c r="A84" s="19" t="s">
        <v>39</v>
      </c>
      <c r="B84" s="19" t="s">
        <v>45</v>
      </c>
      <c r="C84" s="19">
        <v>3</v>
      </c>
      <c r="D84" s="19" t="s">
        <v>43</v>
      </c>
      <c r="E84" s="20" t="str">
        <f>IFERROR(INDEX(貼り付け場所変換!F:F,MATCH(A84&amp;B84&amp;C84&amp;D84,貼り付け場所変換!H:H,0)),"該当なし")</f>
        <v>該当なし</v>
      </c>
      <c r="F84" s="19" t="str">
        <f>IFERROR(INDEX(貼り付け場所変換!G:G,MATCH(A84&amp;B84&amp;C84&amp;D84,貼り付け場所変換!H:H,0)),"該当なし")</f>
        <v>該当なし</v>
      </c>
    </row>
    <row r="85" spans="1:6">
      <c r="A85" s="19" t="s">
        <v>39</v>
      </c>
      <c r="B85" s="19" t="s">
        <v>45</v>
      </c>
      <c r="C85" s="19">
        <v>4</v>
      </c>
      <c r="D85" s="19" t="s">
        <v>43</v>
      </c>
      <c r="E85" s="20" t="str">
        <f>IFERROR(INDEX(貼り付け場所変換!F:F,MATCH(A85&amp;B85&amp;C85&amp;D85,貼り付け場所変換!H:H,0)),"該当なし")</f>
        <v>該当なし</v>
      </c>
      <c r="F85" s="19" t="str">
        <f>IFERROR(INDEX(貼り付け場所変換!G:G,MATCH(A85&amp;B85&amp;C85&amp;D85,貼り付け場所変換!H:H,0)),"該当なし")</f>
        <v>該当なし</v>
      </c>
    </row>
    <row r="86" spans="1:6">
      <c r="A86" s="19" t="s">
        <v>39</v>
      </c>
      <c r="B86" s="19" t="s">
        <v>45</v>
      </c>
      <c r="C86" s="19">
        <v>5</v>
      </c>
      <c r="D86" s="19" t="s">
        <v>43</v>
      </c>
      <c r="E86" s="20" t="str">
        <f>IFERROR(INDEX(貼り付け場所変換!F:F,MATCH(A86&amp;B86&amp;C86&amp;D86,貼り付け場所変換!H:H,0)),"該当なし")</f>
        <v>該当なし</v>
      </c>
      <c r="F86" s="19" t="str">
        <f>IFERROR(INDEX(貼り付け場所変換!G:G,MATCH(A86&amp;B86&amp;C86&amp;D86,貼り付け場所変換!H:H,0)),"該当なし")</f>
        <v>該当なし</v>
      </c>
    </row>
    <row r="87" spans="1:6">
      <c r="A87" s="19" t="s">
        <v>39</v>
      </c>
      <c r="B87" s="19" t="s">
        <v>45</v>
      </c>
      <c r="C87" s="19">
        <v>6</v>
      </c>
      <c r="D87" s="19" t="s">
        <v>43</v>
      </c>
      <c r="E87" s="20" t="str">
        <f>IFERROR(INDEX(貼り付け場所変換!F:F,MATCH(A87&amp;B87&amp;C87&amp;D87,貼り付け場所変換!H:H,0)),"該当なし")</f>
        <v>該当なし</v>
      </c>
      <c r="F87" s="19" t="str">
        <f>IFERROR(INDEX(貼り付け場所変換!G:G,MATCH(A87&amp;B87&amp;C87&amp;D87,貼り付け場所変換!H:H,0)),"該当なし")</f>
        <v>該当なし</v>
      </c>
    </row>
    <row r="88" spans="1:6">
      <c r="A88" s="19" t="s">
        <v>39</v>
      </c>
      <c r="B88" s="19" t="s">
        <v>45</v>
      </c>
      <c r="C88" s="19">
        <v>7</v>
      </c>
      <c r="D88" s="19" t="s">
        <v>43</v>
      </c>
      <c r="E88" s="20" t="str">
        <f>IFERROR(INDEX(貼り付け場所変換!F:F,MATCH(A88&amp;B88&amp;C88&amp;D88,貼り付け場所変換!H:H,0)),"該当なし")</f>
        <v>該当なし</v>
      </c>
      <c r="F88" s="19" t="str">
        <f>IFERROR(INDEX(貼り付け場所変換!G:G,MATCH(A88&amp;B88&amp;C88&amp;D88,貼り付け場所変換!H:H,0)),"該当なし")</f>
        <v>該当なし</v>
      </c>
    </row>
    <row r="89" spans="1:6">
      <c r="A89" s="19" t="s">
        <v>39</v>
      </c>
      <c r="B89" s="19" t="s">
        <v>45</v>
      </c>
      <c r="C89" s="19">
        <v>8</v>
      </c>
      <c r="D89" s="19" t="s">
        <v>43</v>
      </c>
      <c r="E89" s="20" t="str">
        <f>IFERROR(INDEX(貼り付け場所変換!F:F,MATCH(A89&amp;B89&amp;C89&amp;D89,貼り付け場所変換!H:H,0)),"該当なし")</f>
        <v>該当なし</v>
      </c>
      <c r="F89" s="19" t="str">
        <f>IFERROR(INDEX(貼り付け場所変換!G:G,MATCH(A89&amp;B89&amp;C89&amp;D89,貼り付け場所変換!H:H,0)),"該当なし")</f>
        <v>該当なし</v>
      </c>
    </row>
    <row r="90" spans="1:6">
      <c r="A90" s="19" t="s">
        <v>39</v>
      </c>
      <c r="B90" s="19" t="s">
        <v>45</v>
      </c>
      <c r="C90" s="19">
        <v>9</v>
      </c>
      <c r="D90" s="19" t="s">
        <v>43</v>
      </c>
      <c r="E90" s="20" t="str">
        <f>IFERROR(INDEX(貼り付け場所変換!F:F,MATCH(A90&amp;B90&amp;C90&amp;D90,貼り付け場所変換!H:H,0)),"該当なし")</f>
        <v>該当なし</v>
      </c>
      <c r="F90" s="19" t="str">
        <f>IFERROR(INDEX(貼り付け場所変換!G:G,MATCH(A90&amp;B90&amp;C90&amp;D90,貼り付け場所変換!H:H,0)),"該当なし")</f>
        <v>該当なし</v>
      </c>
    </row>
    <row r="91" spans="1:6">
      <c r="A91" s="19" t="s">
        <v>39</v>
      </c>
      <c r="B91" s="19" t="s">
        <v>45</v>
      </c>
      <c r="C91" s="19">
        <v>10</v>
      </c>
      <c r="D91" s="19" t="s">
        <v>43</v>
      </c>
      <c r="E91" s="20" t="str">
        <f>IFERROR(INDEX(貼り付け場所変換!F:F,MATCH(A91&amp;B91&amp;C91&amp;D91,貼り付け場所変換!H:H,0)),"該当なし")</f>
        <v>該当なし</v>
      </c>
      <c r="F91" s="19" t="str">
        <f>IFERROR(INDEX(貼り付け場所変換!G:G,MATCH(A91&amp;B91&amp;C91&amp;D91,貼り付け場所変換!H:H,0)),"該当なし")</f>
        <v>該当なし</v>
      </c>
    </row>
    <row r="92" spans="1:6">
      <c r="A92" s="19" t="s">
        <v>39</v>
      </c>
      <c r="B92" s="19" t="s">
        <v>46</v>
      </c>
      <c r="C92" s="19">
        <v>1</v>
      </c>
      <c r="D92" s="19" t="s">
        <v>41</v>
      </c>
      <c r="E92" s="20" t="str">
        <f>IFERROR(INDEX(貼り付け場所変換!F:F,MATCH(A92&amp;B92&amp;C92&amp;D92,貼り付け場所変換!H:H,0)),"該当なし")</f>
        <v>該当なし</v>
      </c>
      <c r="F92" s="19" t="str">
        <f>IFERROR(INDEX(貼り付け場所変換!G:G,MATCH(A92&amp;B92&amp;C92&amp;D92,貼り付け場所変換!H:H,0)),"該当なし")</f>
        <v>該当なし</v>
      </c>
    </row>
    <row r="93" spans="1:6">
      <c r="A93" s="19" t="s">
        <v>39</v>
      </c>
      <c r="B93" s="19" t="s">
        <v>46</v>
      </c>
      <c r="C93" s="19">
        <v>2</v>
      </c>
      <c r="D93" s="19" t="s">
        <v>41</v>
      </c>
      <c r="E93" s="20" t="str">
        <f>IFERROR(INDEX(貼り付け場所変換!F:F,MATCH(A93&amp;B93&amp;C93&amp;D93,貼り付け場所変換!H:H,0)),"該当なし")</f>
        <v>該当なし</v>
      </c>
      <c r="F93" s="19" t="str">
        <f>IFERROR(INDEX(貼り付け場所変換!G:G,MATCH(A93&amp;B93&amp;C93&amp;D93,貼り付け場所変換!H:H,0)),"該当なし")</f>
        <v>該当なし</v>
      </c>
    </row>
    <row r="94" spans="1:6">
      <c r="A94" s="19" t="s">
        <v>39</v>
      </c>
      <c r="B94" s="19" t="s">
        <v>46</v>
      </c>
      <c r="C94" s="19">
        <v>3</v>
      </c>
      <c r="D94" s="19" t="s">
        <v>41</v>
      </c>
      <c r="E94" s="20" t="str">
        <f>IFERROR(INDEX(貼り付け場所変換!F:F,MATCH(A94&amp;B94&amp;C94&amp;D94,貼り付け場所変換!H:H,0)),"該当なし")</f>
        <v>該当なし</v>
      </c>
      <c r="F94" s="19" t="str">
        <f>IFERROR(INDEX(貼り付け場所変換!G:G,MATCH(A94&amp;B94&amp;C94&amp;D94,貼り付け場所変換!H:H,0)),"該当なし")</f>
        <v>該当なし</v>
      </c>
    </row>
    <row r="95" spans="1:6">
      <c r="A95" s="19" t="s">
        <v>39</v>
      </c>
      <c r="B95" s="19" t="s">
        <v>46</v>
      </c>
      <c r="C95" s="19">
        <v>4</v>
      </c>
      <c r="D95" s="19" t="s">
        <v>41</v>
      </c>
      <c r="E95" s="20" t="str">
        <f>IFERROR(INDEX(貼り付け場所変換!F:F,MATCH(A95&amp;B95&amp;C95&amp;D95,貼り付け場所変換!H:H,0)),"該当なし")</f>
        <v>該当なし</v>
      </c>
      <c r="F95" s="19" t="str">
        <f>IFERROR(INDEX(貼り付け場所変換!G:G,MATCH(A95&amp;B95&amp;C95&amp;D95,貼り付け場所変換!H:H,0)),"該当なし")</f>
        <v>該当なし</v>
      </c>
    </row>
    <row r="96" spans="1:6">
      <c r="A96" s="19" t="s">
        <v>39</v>
      </c>
      <c r="B96" s="19" t="s">
        <v>46</v>
      </c>
      <c r="C96" s="19">
        <v>5</v>
      </c>
      <c r="D96" s="19" t="s">
        <v>41</v>
      </c>
      <c r="E96" s="20" t="str">
        <f>IFERROR(INDEX(貼り付け場所変換!F:F,MATCH(A96&amp;B96&amp;C96&amp;D96,貼り付け場所変換!H:H,0)),"該当なし")</f>
        <v>該当なし</v>
      </c>
      <c r="F96" s="19" t="str">
        <f>IFERROR(INDEX(貼り付け場所変換!G:G,MATCH(A96&amp;B96&amp;C96&amp;D96,貼り付け場所変換!H:H,0)),"該当なし")</f>
        <v>該当なし</v>
      </c>
    </row>
    <row r="97" spans="1:6">
      <c r="A97" s="19" t="s">
        <v>39</v>
      </c>
      <c r="B97" s="19" t="s">
        <v>46</v>
      </c>
      <c r="C97" s="19">
        <v>6</v>
      </c>
      <c r="D97" s="19" t="s">
        <v>41</v>
      </c>
      <c r="E97" s="20" t="str">
        <f>IFERROR(INDEX(貼り付け場所変換!F:F,MATCH(A97&amp;B97&amp;C97&amp;D97,貼り付け場所変換!H:H,0)),"該当なし")</f>
        <v>該当なし</v>
      </c>
      <c r="F97" s="19" t="str">
        <f>IFERROR(INDEX(貼り付け場所変換!G:G,MATCH(A97&amp;B97&amp;C97&amp;D97,貼り付け場所変換!H:H,0)),"該当なし")</f>
        <v>該当なし</v>
      </c>
    </row>
    <row r="98" spans="1:6">
      <c r="A98" s="19" t="s">
        <v>39</v>
      </c>
      <c r="B98" s="19" t="s">
        <v>46</v>
      </c>
      <c r="C98" s="19">
        <v>7</v>
      </c>
      <c r="D98" s="19" t="s">
        <v>41</v>
      </c>
      <c r="E98" s="20" t="str">
        <f>IFERROR(INDEX(貼り付け場所変換!F:F,MATCH(A98&amp;B98&amp;C98&amp;D98,貼り付け場所変換!H:H,0)),"該当なし")</f>
        <v>該当なし</v>
      </c>
      <c r="F98" s="19" t="str">
        <f>IFERROR(INDEX(貼り付け場所変換!G:G,MATCH(A98&amp;B98&amp;C98&amp;D98,貼り付け場所変換!H:H,0)),"該当なし")</f>
        <v>該当なし</v>
      </c>
    </row>
    <row r="99" spans="1:6">
      <c r="A99" s="19" t="s">
        <v>39</v>
      </c>
      <c r="B99" s="19" t="s">
        <v>46</v>
      </c>
      <c r="C99" s="19">
        <v>8</v>
      </c>
      <c r="D99" s="19" t="s">
        <v>41</v>
      </c>
      <c r="E99" s="20" t="str">
        <f>IFERROR(INDEX(貼り付け場所変換!F:F,MATCH(A99&amp;B99&amp;C99&amp;D99,貼り付け場所変換!H:H,0)),"該当なし")</f>
        <v>該当なし</v>
      </c>
      <c r="F99" s="19" t="str">
        <f>IFERROR(INDEX(貼り付け場所変換!G:G,MATCH(A99&amp;B99&amp;C99&amp;D99,貼り付け場所変換!H:H,0)),"該当なし")</f>
        <v>該当なし</v>
      </c>
    </row>
    <row r="100" spans="1:6">
      <c r="A100" s="19" t="s">
        <v>39</v>
      </c>
      <c r="B100" s="19" t="s">
        <v>46</v>
      </c>
      <c r="C100" s="19">
        <v>9</v>
      </c>
      <c r="D100" s="19" t="s">
        <v>41</v>
      </c>
      <c r="E100" s="20" t="str">
        <f>IFERROR(INDEX(貼り付け場所変換!F:F,MATCH(A100&amp;B100&amp;C100&amp;D100,貼り付け場所変換!H:H,0)),"該当なし")</f>
        <v>該当なし</v>
      </c>
      <c r="F100" s="19" t="str">
        <f>IFERROR(INDEX(貼り付け場所変換!G:G,MATCH(A100&amp;B100&amp;C100&amp;D100,貼り付け場所変換!H:H,0)),"該当なし")</f>
        <v>該当なし</v>
      </c>
    </row>
    <row r="101" spans="1:6">
      <c r="A101" s="19" t="s">
        <v>39</v>
      </c>
      <c r="B101" s="19" t="s">
        <v>46</v>
      </c>
      <c r="C101" s="19">
        <v>10</v>
      </c>
      <c r="D101" s="19" t="s">
        <v>41</v>
      </c>
      <c r="E101" s="20" t="str">
        <f>IFERROR(INDEX(貼り付け場所変換!F:F,MATCH(A101&amp;B101&amp;C101&amp;D101,貼り付け場所変換!H:H,0)),"該当なし")</f>
        <v>該当なし</v>
      </c>
      <c r="F101" s="19" t="str">
        <f>IFERROR(INDEX(貼り付け場所変換!G:G,MATCH(A101&amp;B101&amp;C101&amp;D101,貼り付け場所変換!H:H,0)),"該当なし")</f>
        <v>該当なし</v>
      </c>
    </row>
    <row r="102" spans="1:6">
      <c r="A102" s="19" t="s">
        <v>39</v>
      </c>
      <c r="B102" s="19" t="s">
        <v>46</v>
      </c>
      <c r="C102" s="19">
        <v>1</v>
      </c>
      <c r="D102" s="19" t="s">
        <v>42</v>
      </c>
      <c r="E102" s="20" t="str">
        <f>IFERROR(INDEX(貼り付け場所変換!F:F,MATCH(A102&amp;B102&amp;C102&amp;D102,貼り付け場所変換!H:H,0)),"該当なし")</f>
        <v>該当なし</v>
      </c>
      <c r="F102" s="19" t="str">
        <f>IFERROR(INDEX(貼り付け場所変換!G:G,MATCH(A102&amp;B102&amp;C102&amp;D102,貼り付け場所変換!H:H,0)),"該当なし")</f>
        <v>該当なし</v>
      </c>
    </row>
    <row r="103" spans="1:6">
      <c r="A103" s="19" t="s">
        <v>39</v>
      </c>
      <c r="B103" s="19" t="s">
        <v>46</v>
      </c>
      <c r="C103" s="19">
        <v>2</v>
      </c>
      <c r="D103" s="19" t="s">
        <v>42</v>
      </c>
      <c r="E103" s="20" t="str">
        <f>IFERROR(INDEX(貼り付け場所変換!F:F,MATCH(A103&amp;B103&amp;C103&amp;D103,貼り付け場所変換!H:H,0)),"該当なし")</f>
        <v>該当なし</v>
      </c>
      <c r="F103" s="19" t="str">
        <f>IFERROR(INDEX(貼り付け場所変換!G:G,MATCH(A103&amp;B103&amp;C103&amp;D103,貼り付け場所変換!H:H,0)),"該当なし")</f>
        <v>該当なし</v>
      </c>
    </row>
    <row r="104" spans="1:6">
      <c r="A104" s="19" t="s">
        <v>39</v>
      </c>
      <c r="B104" s="19" t="s">
        <v>46</v>
      </c>
      <c r="C104" s="19">
        <v>3</v>
      </c>
      <c r="D104" s="19" t="s">
        <v>42</v>
      </c>
      <c r="E104" s="20" t="str">
        <f>IFERROR(INDEX(貼り付け場所変換!F:F,MATCH(A104&amp;B104&amp;C104&amp;D104,貼り付け場所変換!H:H,0)),"該当なし")</f>
        <v>該当なし</v>
      </c>
      <c r="F104" s="19" t="str">
        <f>IFERROR(INDEX(貼り付け場所変換!G:G,MATCH(A104&amp;B104&amp;C104&amp;D104,貼り付け場所変換!H:H,0)),"該当なし")</f>
        <v>該当なし</v>
      </c>
    </row>
    <row r="105" spans="1:6">
      <c r="A105" s="19" t="s">
        <v>39</v>
      </c>
      <c r="B105" s="19" t="s">
        <v>46</v>
      </c>
      <c r="C105" s="19">
        <v>4</v>
      </c>
      <c r="D105" s="19" t="s">
        <v>42</v>
      </c>
      <c r="E105" s="20" t="str">
        <f>IFERROR(INDEX(貼り付け場所変換!F:F,MATCH(A105&amp;B105&amp;C105&amp;D105,貼り付け場所変換!H:H,0)),"該当なし")</f>
        <v>該当なし</v>
      </c>
      <c r="F105" s="19" t="str">
        <f>IFERROR(INDEX(貼り付け場所変換!G:G,MATCH(A105&amp;B105&amp;C105&amp;D105,貼り付け場所変換!H:H,0)),"該当なし")</f>
        <v>該当なし</v>
      </c>
    </row>
    <row r="106" spans="1:6">
      <c r="A106" s="19" t="s">
        <v>39</v>
      </c>
      <c r="B106" s="19" t="s">
        <v>46</v>
      </c>
      <c r="C106" s="19">
        <v>5</v>
      </c>
      <c r="D106" s="19" t="s">
        <v>42</v>
      </c>
      <c r="E106" s="20" t="str">
        <f>IFERROR(INDEX(貼り付け場所変換!F:F,MATCH(A106&amp;B106&amp;C106&amp;D106,貼り付け場所変換!H:H,0)),"該当なし")</f>
        <v>該当なし</v>
      </c>
      <c r="F106" s="19" t="str">
        <f>IFERROR(INDEX(貼り付け場所変換!G:G,MATCH(A106&amp;B106&amp;C106&amp;D106,貼り付け場所変換!H:H,0)),"該当なし")</f>
        <v>該当なし</v>
      </c>
    </row>
    <row r="107" spans="1:6">
      <c r="A107" s="19" t="s">
        <v>39</v>
      </c>
      <c r="B107" s="19" t="s">
        <v>46</v>
      </c>
      <c r="C107" s="19">
        <v>6</v>
      </c>
      <c r="D107" s="19" t="s">
        <v>42</v>
      </c>
      <c r="E107" s="20" t="str">
        <f>IFERROR(INDEX(貼り付け場所変換!F:F,MATCH(A107&amp;B107&amp;C107&amp;D107,貼り付け場所変換!H:H,0)),"該当なし")</f>
        <v>該当なし</v>
      </c>
      <c r="F107" s="19" t="str">
        <f>IFERROR(INDEX(貼り付け場所変換!G:G,MATCH(A107&amp;B107&amp;C107&amp;D107,貼り付け場所変換!H:H,0)),"該当なし")</f>
        <v>該当なし</v>
      </c>
    </row>
    <row r="108" spans="1:6">
      <c r="A108" s="19" t="s">
        <v>39</v>
      </c>
      <c r="B108" s="19" t="s">
        <v>46</v>
      </c>
      <c r="C108" s="19">
        <v>7</v>
      </c>
      <c r="D108" s="19" t="s">
        <v>42</v>
      </c>
      <c r="E108" s="20" t="str">
        <f>IFERROR(INDEX(貼り付け場所変換!F:F,MATCH(A108&amp;B108&amp;C108&amp;D108,貼り付け場所変換!H:H,0)),"該当なし")</f>
        <v>該当なし</v>
      </c>
      <c r="F108" s="19" t="str">
        <f>IFERROR(INDEX(貼り付け場所変換!G:G,MATCH(A108&amp;B108&amp;C108&amp;D108,貼り付け場所変換!H:H,0)),"該当なし")</f>
        <v>該当なし</v>
      </c>
    </row>
    <row r="109" spans="1:6">
      <c r="A109" s="19" t="s">
        <v>39</v>
      </c>
      <c r="B109" s="19" t="s">
        <v>46</v>
      </c>
      <c r="C109" s="19">
        <v>8</v>
      </c>
      <c r="D109" s="19" t="s">
        <v>42</v>
      </c>
      <c r="E109" s="20" t="str">
        <f>IFERROR(INDEX(貼り付け場所変換!F:F,MATCH(A109&amp;B109&amp;C109&amp;D109,貼り付け場所変換!H:H,0)),"該当なし")</f>
        <v>該当なし</v>
      </c>
      <c r="F109" s="19" t="str">
        <f>IFERROR(INDEX(貼り付け場所変換!G:G,MATCH(A109&amp;B109&amp;C109&amp;D109,貼り付け場所変換!H:H,0)),"該当なし")</f>
        <v>該当なし</v>
      </c>
    </row>
    <row r="110" spans="1:6">
      <c r="A110" s="19" t="s">
        <v>39</v>
      </c>
      <c r="B110" s="19" t="s">
        <v>46</v>
      </c>
      <c r="C110" s="19">
        <v>9</v>
      </c>
      <c r="D110" s="19" t="s">
        <v>42</v>
      </c>
      <c r="E110" s="20" t="str">
        <f>IFERROR(INDEX(貼り付け場所変換!F:F,MATCH(A110&amp;B110&amp;C110&amp;D110,貼り付け場所変換!H:H,0)),"該当なし")</f>
        <v>該当なし</v>
      </c>
      <c r="F110" s="19" t="str">
        <f>IFERROR(INDEX(貼り付け場所変換!G:G,MATCH(A110&amp;B110&amp;C110&amp;D110,貼り付け場所変換!H:H,0)),"該当なし")</f>
        <v>該当なし</v>
      </c>
    </row>
    <row r="111" spans="1:6">
      <c r="A111" s="19" t="s">
        <v>39</v>
      </c>
      <c r="B111" s="19" t="s">
        <v>46</v>
      </c>
      <c r="C111" s="19">
        <v>10</v>
      </c>
      <c r="D111" s="19" t="s">
        <v>42</v>
      </c>
      <c r="E111" s="20" t="str">
        <f>IFERROR(INDEX(貼り付け場所変換!F:F,MATCH(A111&amp;B111&amp;C111&amp;D111,貼り付け場所変換!H:H,0)),"該当なし")</f>
        <v>該当なし</v>
      </c>
      <c r="F111" s="19" t="str">
        <f>IFERROR(INDEX(貼り付け場所変換!G:G,MATCH(A111&amp;B111&amp;C111&amp;D111,貼り付け場所変換!H:H,0)),"該当なし")</f>
        <v>該当なし</v>
      </c>
    </row>
    <row r="112" spans="1:6">
      <c r="A112" s="19" t="s">
        <v>39</v>
      </c>
      <c r="B112" s="19" t="s">
        <v>46</v>
      </c>
      <c r="C112" s="19">
        <v>1</v>
      </c>
      <c r="D112" s="19" t="s">
        <v>43</v>
      </c>
      <c r="E112" s="20" t="str">
        <f>IFERROR(INDEX(貼り付け場所変換!F:F,MATCH(A112&amp;B112&amp;C112&amp;D112,貼り付け場所変換!H:H,0)),"該当なし")</f>
        <v>該当なし</v>
      </c>
      <c r="F112" s="19" t="str">
        <f>IFERROR(INDEX(貼り付け場所変換!G:G,MATCH(A112&amp;B112&amp;C112&amp;D112,貼り付け場所変換!H:H,0)),"該当なし")</f>
        <v>該当なし</v>
      </c>
    </row>
    <row r="113" spans="1:6">
      <c r="A113" s="19" t="s">
        <v>39</v>
      </c>
      <c r="B113" s="19" t="s">
        <v>46</v>
      </c>
      <c r="C113" s="19">
        <v>2</v>
      </c>
      <c r="D113" s="19" t="s">
        <v>43</v>
      </c>
      <c r="E113" s="20" t="str">
        <f>IFERROR(INDEX(貼り付け場所変換!F:F,MATCH(A113&amp;B113&amp;C113&amp;D113,貼り付け場所変換!H:H,0)),"該当なし")</f>
        <v>該当なし</v>
      </c>
      <c r="F113" s="19" t="str">
        <f>IFERROR(INDEX(貼り付け場所変換!G:G,MATCH(A113&amp;B113&amp;C113&amp;D113,貼り付け場所変換!H:H,0)),"該当なし")</f>
        <v>該当なし</v>
      </c>
    </row>
    <row r="114" spans="1:6">
      <c r="A114" s="19" t="s">
        <v>39</v>
      </c>
      <c r="B114" s="19" t="s">
        <v>46</v>
      </c>
      <c r="C114" s="19">
        <v>3</v>
      </c>
      <c r="D114" s="19" t="s">
        <v>43</v>
      </c>
      <c r="E114" s="20" t="str">
        <f>IFERROR(INDEX(貼り付け場所変換!F:F,MATCH(A114&amp;B114&amp;C114&amp;D114,貼り付け場所変換!H:H,0)),"該当なし")</f>
        <v>該当なし</v>
      </c>
      <c r="F114" s="19" t="str">
        <f>IFERROR(INDEX(貼り付け場所変換!G:G,MATCH(A114&amp;B114&amp;C114&amp;D114,貼り付け場所変換!H:H,0)),"該当なし")</f>
        <v>該当なし</v>
      </c>
    </row>
    <row r="115" spans="1:6">
      <c r="A115" s="19" t="s">
        <v>39</v>
      </c>
      <c r="B115" s="19" t="s">
        <v>46</v>
      </c>
      <c r="C115" s="19">
        <v>4</v>
      </c>
      <c r="D115" s="19" t="s">
        <v>43</v>
      </c>
      <c r="E115" s="20" t="str">
        <f>IFERROR(INDEX(貼り付け場所変換!F:F,MATCH(A115&amp;B115&amp;C115&amp;D115,貼り付け場所変換!H:H,0)),"該当なし")</f>
        <v>該当なし</v>
      </c>
      <c r="F115" s="19" t="str">
        <f>IFERROR(INDEX(貼り付け場所変換!G:G,MATCH(A115&amp;B115&amp;C115&amp;D115,貼り付け場所変換!H:H,0)),"該当なし")</f>
        <v>該当なし</v>
      </c>
    </row>
    <row r="116" spans="1:6">
      <c r="A116" s="19" t="s">
        <v>39</v>
      </c>
      <c r="B116" s="19" t="s">
        <v>46</v>
      </c>
      <c r="C116" s="19">
        <v>5</v>
      </c>
      <c r="D116" s="19" t="s">
        <v>43</v>
      </c>
      <c r="E116" s="20" t="str">
        <f>IFERROR(INDEX(貼り付け場所変換!F:F,MATCH(A116&amp;B116&amp;C116&amp;D116,貼り付け場所変換!H:H,0)),"該当なし")</f>
        <v>該当なし</v>
      </c>
      <c r="F116" s="19" t="str">
        <f>IFERROR(INDEX(貼り付け場所変換!G:G,MATCH(A116&amp;B116&amp;C116&amp;D116,貼り付け場所変換!H:H,0)),"該当なし")</f>
        <v>該当なし</v>
      </c>
    </row>
    <row r="117" spans="1:6">
      <c r="A117" s="19" t="s">
        <v>39</v>
      </c>
      <c r="B117" s="19" t="s">
        <v>46</v>
      </c>
      <c r="C117" s="19">
        <v>6</v>
      </c>
      <c r="D117" s="19" t="s">
        <v>43</v>
      </c>
      <c r="E117" s="20" t="str">
        <f>IFERROR(INDEX(貼り付け場所変換!F:F,MATCH(A117&amp;B117&amp;C117&amp;D117,貼り付け場所変換!H:H,0)),"該当なし")</f>
        <v>該当なし</v>
      </c>
      <c r="F117" s="19" t="str">
        <f>IFERROR(INDEX(貼り付け場所変換!G:G,MATCH(A117&amp;B117&amp;C117&amp;D117,貼り付け場所変換!H:H,0)),"該当なし")</f>
        <v>該当なし</v>
      </c>
    </row>
    <row r="118" spans="1:6">
      <c r="A118" s="19" t="s">
        <v>39</v>
      </c>
      <c r="B118" s="19" t="s">
        <v>46</v>
      </c>
      <c r="C118" s="19">
        <v>7</v>
      </c>
      <c r="D118" s="19" t="s">
        <v>43</v>
      </c>
      <c r="E118" s="20" t="str">
        <f>IFERROR(INDEX(貼り付け場所変換!F:F,MATCH(A118&amp;B118&amp;C118&amp;D118,貼り付け場所変換!H:H,0)),"該当なし")</f>
        <v>該当なし</v>
      </c>
      <c r="F118" s="19" t="str">
        <f>IFERROR(INDEX(貼り付け場所変換!G:G,MATCH(A118&amp;B118&amp;C118&amp;D118,貼り付け場所変換!H:H,0)),"該当なし")</f>
        <v>該当なし</v>
      </c>
    </row>
    <row r="119" spans="1:6">
      <c r="A119" s="19" t="s">
        <v>39</v>
      </c>
      <c r="B119" s="19" t="s">
        <v>46</v>
      </c>
      <c r="C119" s="19">
        <v>8</v>
      </c>
      <c r="D119" s="19" t="s">
        <v>43</v>
      </c>
      <c r="E119" s="20" t="str">
        <f>IFERROR(INDEX(貼り付け場所変換!F:F,MATCH(A119&amp;B119&amp;C119&amp;D119,貼り付け場所変換!H:H,0)),"該当なし")</f>
        <v>該当なし</v>
      </c>
      <c r="F119" s="19" t="str">
        <f>IFERROR(INDEX(貼り付け場所変換!G:G,MATCH(A119&amp;B119&amp;C119&amp;D119,貼り付け場所変換!H:H,0)),"該当なし")</f>
        <v>該当なし</v>
      </c>
    </row>
    <row r="120" spans="1:6">
      <c r="A120" s="19" t="s">
        <v>39</v>
      </c>
      <c r="B120" s="19" t="s">
        <v>46</v>
      </c>
      <c r="C120" s="19">
        <v>9</v>
      </c>
      <c r="D120" s="19" t="s">
        <v>43</v>
      </c>
      <c r="E120" s="20" t="str">
        <f>IFERROR(INDEX(貼り付け場所変換!F:F,MATCH(A120&amp;B120&amp;C120&amp;D120,貼り付け場所変換!H:H,0)),"該当なし")</f>
        <v>該当なし</v>
      </c>
      <c r="F120" s="19" t="str">
        <f>IFERROR(INDEX(貼り付け場所変換!G:G,MATCH(A120&amp;B120&amp;C120&amp;D120,貼り付け場所変換!H:H,0)),"該当なし")</f>
        <v>該当なし</v>
      </c>
    </row>
    <row r="121" spans="1:6">
      <c r="A121" s="19" t="s">
        <v>39</v>
      </c>
      <c r="B121" s="19" t="s">
        <v>46</v>
      </c>
      <c r="C121" s="19">
        <v>10</v>
      </c>
      <c r="D121" s="19" t="s">
        <v>43</v>
      </c>
      <c r="E121" s="20" t="str">
        <f>IFERROR(INDEX(貼り付け場所変換!F:F,MATCH(A121&amp;B121&amp;C121&amp;D121,貼り付け場所変換!H:H,0)),"該当なし")</f>
        <v>該当なし</v>
      </c>
      <c r="F121" s="19" t="str">
        <f>IFERROR(INDEX(貼り付け場所変換!G:G,MATCH(A121&amp;B121&amp;C121&amp;D121,貼り付け場所変換!H:H,0)),"該当なし")</f>
        <v>該当なし</v>
      </c>
    </row>
    <row r="122" spans="1:6">
      <c r="A122" s="19" t="s">
        <v>39</v>
      </c>
      <c r="B122" s="19" t="s">
        <v>47</v>
      </c>
      <c r="C122" s="19">
        <v>1</v>
      </c>
      <c r="D122" s="19" t="s">
        <v>41</v>
      </c>
      <c r="E122" s="20" t="str">
        <f>IFERROR(INDEX(貼り付け場所変換!F:F,MATCH(A122&amp;B122&amp;C122&amp;D122,貼り付け場所変換!H:H,0)),"該当なし")</f>
        <v>該当なし</v>
      </c>
      <c r="F122" s="19" t="str">
        <f>IFERROR(INDEX(貼り付け場所変換!G:G,MATCH(A122&amp;B122&amp;C122&amp;D122,貼り付け場所変換!H:H,0)),"該当なし")</f>
        <v>該当なし</v>
      </c>
    </row>
    <row r="123" spans="1:6">
      <c r="A123" s="19" t="s">
        <v>39</v>
      </c>
      <c r="B123" s="19" t="s">
        <v>47</v>
      </c>
      <c r="C123" s="19">
        <v>2</v>
      </c>
      <c r="D123" s="19" t="s">
        <v>41</v>
      </c>
      <c r="E123" s="20" t="str">
        <f>IFERROR(INDEX(貼り付け場所変換!F:F,MATCH(A123&amp;B123&amp;C123&amp;D123,貼り付け場所変換!H:H,0)),"該当なし")</f>
        <v>該当なし</v>
      </c>
      <c r="F123" s="19" t="str">
        <f>IFERROR(INDEX(貼り付け場所変換!G:G,MATCH(A123&amp;B123&amp;C123&amp;D123,貼り付け場所変換!H:H,0)),"該当なし")</f>
        <v>該当なし</v>
      </c>
    </row>
    <row r="124" spans="1:6">
      <c r="A124" s="19" t="s">
        <v>39</v>
      </c>
      <c r="B124" s="19" t="s">
        <v>47</v>
      </c>
      <c r="C124" s="19">
        <v>3</v>
      </c>
      <c r="D124" s="19" t="s">
        <v>41</v>
      </c>
      <c r="E124" s="20" t="str">
        <f>IFERROR(INDEX(貼り付け場所変換!F:F,MATCH(A124&amp;B124&amp;C124&amp;D124,貼り付け場所変換!H:H,0)),"該当なし")</f>
        <v>該当なし</v>
      </c>
      <c r="F124" s="19" t="str">
        <f>IFERROR(INDEX(貼り付け場所変換!G:G,MATCH(A124&amp;B124&amp;C124&amp;D124,貼り付け場所変換!H:H,0)),"該当なし")</f>
        <v>該当なし</v>
      </c>
    </row>
    <row r="125" spans="1:6">
      <c r="A125" s="19" t="s">
        <v>39</v>
      </c>
      <c r="B125" s="19" t="s">
        <v>47</v>
      </c>
      <c r="C125" s="19">
        <v>4</v>
      </c>
      <c r="D125" s="19" t="s">
        <v>41</v>
      </c>
      <c r="E125" s="20" t="str">
        <f>IFERROR(INDEX(貼り付け場所変換!F:F,MATCH(A125&amp;B125&amp;C125&amp;D125,貼り付け場所変換!H:H,0)),"該当なし")</f>
        <v>該当なし</v>
      </c>
      <c r="F125" s="19" t="str">
        <f>IFERROR(INDEX(貼り付け場所変換!G:G,MATCH(A125&amp;B125&amp;C125&amp;D125,貼り付け場所変換!H:H,0)),"該当なし")</f>
        <v>該当なし</v>
      </c>
    </row>
    <row r="126" spans="1:6">
      <c r="A126" s="19" t="s">
        <v>39</v>
      </c>
      <c r="B126" s="19" t="s">
        <v>47</v>
      </c>
      <c r="C126" s="19">
        <v>5</v>
      </c>
      <c r="D126" s="19" t="s">
        <v>41</v>
      </c>
      <c r="E126" s="20" t="str">
        <f>IFERROR(INDEX(貼り付け場所変換!F:F,MATCH(A126&amp;B126&amp;C126&amp;D126,貼り付け場所変換!H:H,0)),"該当なし")</f>
        <v>該当なし</v>
      </c>
      <c r="F126" s="19" t="str">
        <f>IFERROR(INDEX(貼り付け場所変換!G:G,MATCH(A126&amp;B126&amp;C126&amp;D126,貼り付け場所変換!H:H,0)),"該当なし")</f>
        <v>該当なし</v>
      </c>
    </row>
    <row r="127" spans="1:6">
      <c r="A127" s="19" t="s">
        <v>39</v>
      </c>
      <c r="B127" s="19" t="s">
        <v>47</v>
      </c>
      <c r="C127" s="19">
        <v>6</v>
      </c>
      <c r="D127" s="19" t="s">
        <v>41</v>
      </c>
      <c r="E127" s="20" t="str">
        <f>IFERROR(INDEX(貼り付け場所変換!F:F,MATCH(A127&amp;B127&amp;C127&amp;D127,貼り付け場所変換!H:H,0)),"該当なし")</f>
        <v>該当なし</v>
      </c>
      <c r="F127" s="19" t="str">
        <f>IFERROR(INDEX(貼り付け場所変換!G:G,MATCH(A127&amp;B127&amp;C127&amp;D127,貼り付け場所変換!H:H,0)),"該当なし")</f>
        <v>該当なし</v>
      </c>
    </row>
    <row r="128" spans="1:6">
      <c r="A128" s="19" t="s">
        <v>39</v>
      </c>
      <c r="B128" s="19" t="s">
        <v>47</v>
      </c>
      <c r="C128" s="19">
        <v>7</v>
      </c>
      <c r="D128" s="19" t="s">
        <v>41</v>
      </c>
      <c r="E128" s="20" t="str">
        <f>IFERROR(INDEX(貼り付け場所変換!F:F,MATCH(A128&amp;B128&amp;C128&amp;D128,貼り付け場所変換!H:H,0)),"該当なし")</f>
        <v>該当なし</v>
      </c>
      <c r="F128" s="19" t="str">
        <f>IFERROR(INDEX(貼り付け場所変換!G:G,MATCH(A128&amp;B128&amp;C128&amp;D128,貼り付け場所変換!H:H,0)),"該当なし")</f>
        <v>該当なし</v>
      </c>
    </row>
    <row r="129" spans="1:6">
      <c r="A129" s="19" t="s">
        <v>39</v>
      </c>
      <c r="B129" s="19" t="s">
        <v>47</v>
      </c>
      <c r="C129" s="19">
        <v>8</v>
      </c>
      <c r="D129" s="19" t="s">
        <v>41</v>
      </c>
      <c r="E129" s="20" t="str">
        <f>IFERROR(INDEX(貼り付け場所変換!F:F,MATCH(A129&amp;B129&amp;C129&amp;D129,貼り付け場所変換!H:H,0)),"該当なし")</f>
        <v>該当なし</v>
      </c>
      <c r="F129" s="19" t="str">
        <f>IFERROR(INDEX(貼り付け場所変換!G:G,MATCH(A129&amp;B129&amp;C129&amp;D129,貼り付け場所変換!H:H,0)),"該当なし")</f>
        <v>該当なし</v>
      </c>
    </row>
    <row r="130" spans="1:6">
      <c r="A130" s="19" t="s">
        <v>39</v>
      </c>
      <c r="B130" s="19" t="s">
        <v>47</v>
      </c>
      <c r="C130" s="19">
        <v>9</v>
      </c>
      <c r="D130" s="19" t="s">
        <v>41</v>
      </c>
      <c r="E130" s="20" t="str">
        <f>IFERROR(INDEX(貼り付け場所変換!F:F,MATCH(A130&amp;B130&amp;C130&amp;D130,貼り付け場所変換!H:H,0)),"該当なし")</f>
        <v>該当なし</v>
      </c>
      <c r="F130" s="19" t="str">
        <f>IFERROR(INDEX(貼り付け場所変換!G:G,MATCH(A130&amp;B130&amp;C130&amp;D130,貼り付け場所変換!H:H,0)),"該当なし")</f>
        <v>該当なし</v>
      </c>
    </row>
    <row r="131" spans="1:6">
      <c r="A131" s="19" t="s">
        <v>39</v>
      </c>
      <c r="B131" s="19" t="s">
        <v>47</v>
      </c>
      <c r="C131" s="19">
        <v>10</v>
      </c>
      <c r="D131" s="19" t="s">
        <v>41</v>
      </c>
      <c r="E131" s="20" t="str">
        <f>IFERROR(INDEX(貼り付け場所変換!F:F,MATCH(A131&amp;B131&amp;C131&amp;D131,貼り付け場所変換!H:H,0)),"該当なし")</f>
        <v>該当なし</v>
      </c>
      <c r="F131" s="19" t="str">
        <f>IFERROR(INDEX(貼り付け場所変換!G:G,MATCH(A131&amp;B131&amp;C131&amp;D131,貼り付け場所変換!H:H,0)),"該当なし")</f>
        <v>該当なし</v>
      </c>
    </row>
    <row r="132" spans="1:6">
      <c r="A132" s="19" t="s">
        <v>39</v>
      </c>
      <c r="B132" s="19" t="s">
        <v>47</v>
      </c>
      <c r="C132" s="19">
        <v>1</v>
      </c>
      <c r="D132" s="19" t="s">
        <v>42</v>
      </c>
      <c r="E132" s="20" t="str">
        <f>IFERROR(INDEX(貼り付け場所変換!F:F,MATCH(A132&amp;B132&amp;C132&amp;D132,貼り付け場所変換!H:H,0)),"該当なし")</f>
        <v>該当なし</v>
      </c>
      <c r="F132" s="19" t="str">
        <f>IFERROR(INDEX(貼り付け場所変換!G:G,MATCH(A132&amp;B132&amp;C132&amp;D132,貼り付け場所変換!H:H,0)),"該当なし")</f>
        <v>該当なし</v>
      </c>
    </row>
    <row r="133" spans="1:6">
      <c r="A133" s="19" t="s">
        <v>39</v>
      </c>
      <c r="B133" s="19" t="s">
        <v>47</v>
      </c>
      <c r="C133" s="19">
        <v>2</v>
      </c>
      <c r="D133" s="19" t="s">
        <v>42</v>
      </c>
      <c r="E133" s="20" t="str">
        <f>IFERROR(INDEX(貼り付け場所変換!F:F,MATCH(A133&amp;B133&amp;C133&amp;D133,貼り付け場所変換!H:H,0)),"該当なし")</f>
        <v>該当なし</v>
      </c>
      <c r="F133" s="19" t="str">
        <f>IFERROR(INDEX(貼り付け場所変換!G:G,MATCH(A133&amp;B133&amp;C133&amp;D133,貼り付け場所変換!H:H,0)),"該当なし")</f>
        <v>該当なし</v>
      </c>
    </row>
    <row r="134" spans="1:6">
      <c r="A134" s="19" t="s">
        <v>39</v>
      </c>
      <c r="B134" s="19" t="s">
        <v>47</v>
      </c>
      <c r="C134" s="19">
        <v>3</v>
      </c>
      <c r="D134" s="19" t="s">
        <v>42</v>
      </c>
      <c r="E134" s="20" t="str">
        <f>IFERROR(INDEX(貼り付け場所変換!F:F,MATCH(A134&amp;B134&amp;C134&amp;D134,貼り付け場所変換!H:H,0)),"該当なし")</f>
        <v>該当なし</v>
      </c>
      <c r="F134" s="19" t="str">
        <f>IFERROR(INDEX(貼り付け場所変換!G:G,MATCH(A134&amp;B134&amp;C134&amp;D134,貼り付け場所変換!H:H,0)),"該当なし")</f>
        <v>該当なし</v>
      </c>
    </row>
    <row r="135" spans="1:6">
      <c r="A135" s="19" t="s">
        <v>39</v>
      </c>
      <c r="B135" s="19" t="s">
        <v>47</v>
      </c>
      <c r="C135" s="19">
        <v>4</v>
      </c>
      <c r="D135" s="19" t="s">
        <v>42</v>
      </c>
      <c r="E135" s="20" t="str">
        <f>IFERROR(INDEX(貼り付け場所変換!F:F,MATCH(A135&amp;B135&amp;C135&amp;D135,貼り付け場所変換!H:H,0)),"該当なし")</f>
        <v>該当なし</v>
      </c>
      <c r="F135" s="19" t="str">
        <f>IFERROR(INDEX(貼り付け場所変換!G:G,MATCH(A135&amp;B135&amp;C135&amp;D135,貼り付け場所変換!H:H,0)),"該当なし")</f>
        <v>該当なし</v>
      </c>
    </row>
    <row r="136" spans="1:6">
      <c r="A136" s="19" t="s">
        <v>39</v>
      </c>
      <c r="B136" s="19" t="s">
        <v>47</v>
      </c>
      <c r="C136" s="19">
        <v>5</v>
      </c>
      <c r="D136" s="19" t="s">
        <v>42</v>
      </c>
      <c r="E136" s="20" t="str">
        <f>IFERROR(INDEX(貼り付け場所変換!F:F,MATCH(A136&amp;B136&amp;C136&amp;D136,貼り付け場所変換!H:H,0)),"該当なし")</f>
        <v>該当なし</v>
      </c>
      <c r="F136" s="19" t="str">
        <f>IFERROR(INDEX(貼り付け場所変換!G:G,MATCH(A136&amp;B136&amp;C136&amp;D136,貼り付け場所変換!H:H,0)),"該当なし")</f>
        <v>該当なし</v>
      </c>
    </row>
    <row r="137" spans="1:6">
      <c r="A137" s="19" t="s">
        <v>39</v>
      </c>
      <c r="B137" s="19" t="s">
        <v>47</v>
      </c>
      <c r="C137" s="19">
        <v>6</v>
      </c>
      <c r="D137" s="19" t="s">
        <v>42</v>
      </c>
      <c r="E137" s="20" t="str">
        <f>IFERROR(INDEX(貼り付け場所変換!F:F,MATCH(A137&amp;B137&amp;C137&amp;D137,貼り付け場所変換!H:H,0)),"該当なし")</f>
        <v>該当なし</v>
      </c>
      <c r="F137" s="19" t="str">
        <f>IFERROR(INDEX(貼り付け場所変換!G:G,MATCH(A137&amp;B137&amp;C137&amp;D137,貼り付け場所変換!H:H,0)),"該当なし")</f>
        <v>該当なし</v>
      </c>
    </row>
    <row r="138" spans="1:6">
      <c r="A138" s="19" t="s">
        <v>39</v>
      </c>
      <c r="B138" s="19" t="s">
        <v>47</v>
      </c>
      <c r="C138" s="19">
        <v>7</v>
      </c>
      <c r="D138" s="19" t="s">
        <v>42</v>
      </c>
      <c r="E138" s="20" t="str">
        <f>IFERROR(INDEX(貼り付け場所変換!F:F,MATCH(A138&amp;B138&amp;C138&amp;D138,貼り付け場所変換!H:H,0)),"該当なし")</f>
        <v>該当なし</v>
      </c>
      <c r="F138" s="19" t="str">
        <f>IFERROR(INDEX(貼り付け場所変換!G:G,MATCH(A138&amp;B138&amp;C138&amp;D138,貼り付け場所変換!H:H,0)),"該当なし")</f>
        <v>該当なし</v>
      </c>
    </row>
    <row r="139" spans="1:6">
      <c r="A139" s="19" t="s">
        <v>39</v>
      </c>
      <c r="B139" s="19" t="s">
        <v>47</v>
      </c>
      <c r="C139" s="19">
        <v>8</v>
      </c>
      <c r="D139" s="19" t="s">
        <v>42</v>
      </c>
      <c r="E139" s="20" t="str">
        <f>IFERROR(INDEX(貼り付け場所変換!F:F,MATCH(A139&amp;B139&amp;C139&amp;D139,貼り付け場所変換!H:H,0)),"該当なし")</f>
        <v>該当なし</v>
      </c>
      <c r="F139" s="19" t="str">
        <f>IFERROR(INDEX(貼り付け場所変換!G:G,MATCH(A139&amp;B139&amp;C139&amp;D139,貼り付け場所変換!H:H,0)),"該当なし")</f>
        <v>該当なし</v>
      </c>
    </row>
    <row r="140" spans="1:6">
      <c r="A140" s="19" t="s">
        <v>39</v>
      </c>
      <c r="B140" s="19" t="s">
        <v>47</v>
      </c>
      <c r="C140" s="19">
        <v>9</v>
      </c>
      <c r="D140" s="19" t="s">
        <v>42</v>
      </c>
      <c r="E140" s="20" t="str">
        <f>IFERROR(INDEX(貼り付け場所変換!F:F,MATCH(A140&amp;B140&amp;C140&amp;D140,貼り付け場所変換!H:H,0)),"該当なし")</f>
        <v>該当なし</v>
      </c>
      <c r="F140" s="19" t="str">
        <f>IFERROR(INDEX(貼り付け場所変換!G:G,MATCH(A140&amp;B140&amp;C140&amp;D140,貼り付け場所変換!H:H,0)),"該当なし")</f>
        <v>該当なし</v>
      </c>
    </row>
    <row r="141" spans="1:6">
      <c r="A141" s="19" t="s">
        <v>39</v>
      </c>
      <c r="B141" s="19" t="s">
        <v>47</v>
      </c>
      <c r="C141" s="19">
        <v>10</v>
      </c>
      <c r="D141" s="19" t="s">
        <v>42</v>
      </c>
      <c r="E141" s="20" t="str">
        <f>IFERROR(INDEX(貼り付け場所変換!F:F,MATCH(A141&amp;B141&amp;C141&amp;D141,貼り付け場所変換!H:H,0)),"該当なし")</f>
        <v>該当なし</v>
      </c>
      <c r="F141" s="19" t="str">
        <f>IFERROR(INDEX(貼り付け場所変換!G:G,MATCH(A141&amp;B141&amp;C141&amp;D141,貼り付け場所変換!H:H,0)),"該当なし")</f>
        <v>該当なし</v>
      </c>
    </row>
    <row r="142" spans="1:6">
      <c r="A142" s="19" t="s">
        <v>39</v>
      </c>
      <c r="B142" s="19" t="s">
        <v>47</v>
      </c>
      <c r="C142" s="19">
        <v>1</v>
      </c>
      <c r="D142" s="19" t="s">
        <v>43</v>
      </c>
      <c r="E142" s="20" t="str">
        <f>IFERROR(INDEX(貼り付け場所変換!F:F,MATCH(A142&amp;B142&amp;C142&amp;D142,貼り付け場所変換!H:H,0)),"該当なし")</f>
        <v>該当なし</v>
      </c>
      <c r="F142" s="19" t="str">
        <f>IFERROR(INDEX(貼り付け場所変換!G:G,MATCH(A142&amp;B142&amp;C142&amp;D142,貼り付け場所変換!H:H,0)),"該当なし")</f>
        <v>該当なし</v>
      </c>
    </row>
    <row r="143" spans="1:6">
      <c r="A143" s="19" t="s">
        <v>39</v>
      </c>
      <c r="B143" s="19" t="s">
        <v>47</v>
      </c>
      <c r="C143" s="19">
        <v>2</v>
      </c>
      <c r="D143" s="19" t="s">
        <v>43</v>
      </c>
      <c r="E143" s="20" t="str">
        <f>IFERROR(INDEX(貼り付け場所変換!F:F,MATCH(A143&amp;B143&amp;C143&amp;D143,貼り付け場所変換!H:H,0)),"該当なし")</f>
        <v>該当なし</v>
      </c>
      <c r="F143" s="19" t="str">
        <f>IFERROR(INDEX(貼り付け場所変換!G:G,MATCH(A143&amp;B143&amp;C143&amp;D143,貼り付け場所変換!H:H,0)),"該当なし")</f>
        <v>該当なし</v>
      </c>
    </row>
    <row r="144" spans="1:6">
      <c r="A144" s="19" t="s">
        <v>39</v>
      </c>
      <c r="B144" s="19" t="s">
        <v>47</v>
      </c>
      <c r="C144" s="19">
        <v>3</v>
      </c>
      <c r="D144" s="19" t="s">
        <v>43</v>
      </c>
      <c r="E144" s="20" t="str">
        <f>IFERROR(INDEX(貼り付け場所変換!F:F,MATCH(A144&amp;B144&amp;C144&amp;D144,貼り付け場所変換!H:H,0)),"該当なし")</f>
        <v>該当なし</v>
      </c>
      <c r="F144" s="19" t="str">
        <f>IFERROR(INDEX(貼り付け場所変換!G:G,MATCH(A144&amp;B144&amp;C144&amp;D144,貼り付け場所変換!H:H,0)),"該当なし")</f>
        <v>該当なし</v>
      </c>
    </row>
    <row r="145" spans="1:6">
      <c r="A145" s="19" t="s">
        <v>39</v>
      </c>
      <c r="B145" s="19" t="s">
        <v>47</v>
      </c>
      <c r="C145" s="19">
        <v>4</v>
      </c>
      <c r="D145" s="19" t="s">
        <v>43</v>
      </c>
      <c r="E145" s="20" t="str">
        <f>IFERROR(INDEX(貼り付け場所変換!F:F,MATCH(A145&amp;B145&amp;C145&amp;D145,貼り付け場所変換!H:H,0)),"該当なし")</f>
        <v>該当なし</v>
      </c>
      <c r="F145" s="19" t="str">
        <f>IFERROR(INDEX(貼り付け場所変換!G:G,MATCH(A145&amp;B145&amp;C145&amp;D145,貼り付け場所変換!H:H,0)),"該当なし")</f>
        <v>該当なし</v>
      </c>
    </row>
    <row r="146" spans="1:6">
      <c r="A146" s="19" t="s">
        <v>39</v>
      </c>
      <c r="B146" s="19" t="s">
        <v>47</v>
      </c>
      <c r="C146" s="19">
        <v>5</v>
      </c>
      <c r="D146" s="19" t="s">
        <v>43</v>
      </c>
      <c r="E146" s="20" t="str">
        <f>IFERROR(INDEX(貼り付け場所変換!F:F,MATCH(A146&amp;B146&amp;C146&amp;D146,貼り付け場所変換!H:H,0)),"該当なし")</f>
        <v>該当なし</v>
      </c>
      <c r="F146" s="19" t="str">
        <f>IFERROR(INDEX(貼り付け場所変換!G:G,MATCH(A146&amp;B146&amp;C146&amp;D146,貼り付け場所変換!H:H,0)),"該当なし")</f>
        <v>該当なし</v>
      </c>
    </row>
    <row r="147" spans="1:6">
      <c r="A147" s="19" t="s">
        <v>39</v>
      </c>
      <c r="B147" s="19" t="s">
        <v>47</v>
      </c>
      <c r="C147" s="19">
        <v>6</v>
      </c>
      <c r="D147" s="19" t="s">
        <v>43</v>
      </c>
      <c r="E147" s="20" t="str">
        <f>IFERROR(INDEX(貼り付け場所変換!F:F,MATCH(A147&amp;B147&amp;C147&amp;D147,貼り付け場所変換!H:H,0)),"該当なし")</f>
        <v>該当なし</v>
      </c>
      <c r="F147" s="19" t="str">
        <f>IFERROR(INDEX(貼り付け場所変換!G:G,MATCH(A147&amp;B147&amp;C147&amp;D147,貼り付け場所変換!H:H,0)),"該当なし")</f>
        <v>該当なし</v>
      </c>
    </row>
    <row r="148" spans="1:6">
      <c r="A148" s="19" t="s">
        <v>39</v>
      </c>
      <c r="B148" s="19" t="s">
        <v>47</v>
      </c>
      <c r="C148" s="19">
        <v>7</v>
      </c>
      <c r="D148" s="19" t="s">
        <v>43</v>
      </c>
      <c r="E148" s="20" t="str">
        <f>IFERROR(INDEX(貼り付け場所変換!F:F,MATCH(A148&amp;B148&amp;C148&amp;D148,貼り付け場所変換!H:H,0)),"該当なし")</f>
        <v>該当なし</v>
      </c>
      <c r="F148" s="19" t="str">
        <f>IFERROR(INDEX(貼り付け場所変換!G:G,MATCH(A148&amp;B148&amp;C148&amp;D148,貼り付け場所変換!H:H,0)),"該当なし")</f>
        <v>該当なし</v>
      </c>
    </row>
    <row r="149" spans="1:6">
      <c r="A149" s="19" t="s">
        <v>39</v>
      </c>
      <c r="B149" s="19" t="s">
        <v>47</v>
      </c>
      <c r="C149" s="19">
        <v>8</v>
      </c>
      <c r="D149" s="19" t="s">
        <v>43</v>
      </c>
      <c r="E149" s="20" t="str">
        <f>IFERROR(INDEX(貼り付け場所変換!F:F,MATCH(A149&amp;B149&amp;C149&amp;D149,貼り付け場所変換!H:H,0)),"該当なし")</f>
        <v>該当なし</v>
      </c>
      <c r="F149" s="19" t="str">
        <f>IFERROR(INDEX(貼り付け場所変換!G:G,MATCH(A149&amp;B149&amp;C149&amp;D149,貼り付け場所変換!H:H,0)),"該当なし")</f>
        <v>該当なし</v>
      </c>
    </row>
    <row r="150" spans="1:6">
      <c r="A150" s="19" t="s">
        <v>39</v>
      </c>
      <c r="B150" s="19" t="s">
        <v>47</v>
      </c>
      <c r="C150" s="19">
        <v>9</v>
      </c>
      <c r="D150" s="19" t="s">
        <v>43</v>
      </c>
      <c r="E150" s="20" t="str">
        <f>IFERROR(INDEX(貼り付け場所変換!F:F,MATCH(A150&amp;B150&amp;C150&amp;D150,貼り付け場所変換!H:H,0)),"該当なし")</f>
        <v>該当なし</v>
      </c>
      <c r="F150" s="19" t="str">
        <f>IFERROR(INDEX(貼り付け場所変換!G:G,MATCH(A150&amp;B150&amp;C150&amp;D150,貼り付け場所変換!H:H,0)),"該当なし")</f>
        <v>該当なし</v>
      </c>
    </row>
    <row r="151" spans="1:6">
      <c r="A151" s="19" t="s">
        <v>39</v>
      </c>
      <c r="B151" s="19" t="s">
        <v>47</v>
      </c>
      <c r="C151" s="19">
        <v>10</v>
      </c>
      <c r="D151" s="19" t="s">
        <v>43</v>
      </c>
      <c r="E151" s="20" t="str">
        <f>IFERROR(INDEX(貼り付け場所変換!F:F,MATCH(A151&amp;B151&amp;C151&amp;D151,貼り付け場所変換!H:H,0)),"該当なし")</f>
        <v>該当なし</v>
      </c>
      <c r="F151" s="19" t="str">
        <f>IFERROR(INDEX(貼り付け場所変換!G:G,MATCH(A151&amp;B151&amp;C151&amp;D151,貼り付け場所変換!H:H,0)),"該当なし")</f>
        <v>該当なし</v>
      </c>
    </row>
    <row r="152" spans="1:6">
      <c r="A152" s="19" t="s">
        <v>48</v>
      </c>
      <c r="B152" s="19" t="s">
        <v>40</v>
      </c>
      <c r="C152" s="19">
        <v>1</v>
      </c>
      <c r="D152" s="19" t="s">
        <v>41</v>
      </c>
      <c r="E152" s="20" t="str">
        <f>IFERROR(INDEX(貼り付け場所変換!F:F,MATCH(A152&amp;B152&amp;C152&amp;D152,貼り付け場所変換!H:H,0)),"該当なし")</f>
        <v>該当なし</v>
      </c>
      <c r="F152" s="19" t="str">
        <f>IFERROR(INDEX(貼り付け場所変換!G:G,MATCH(A152&amp;B152&amp;C152&amp;D152,貼り付け場所変換!H:H,0)),"該当なし")</f>
        <v>該当なし</v>
      </c>
    </row>
    <row r="153" spans="1:6">
      <c r="A153" s="19" t="s">
        <v>48</v>
      </c>
      <c r="B153" s="19" t="s">
        <v>40</v>
      </c>
      <c r="C153" s="19">
        <v>2</v>
      </c>
      <c r="D153" s="19" t="s">
        <v>41</v>
      </c>
      <c r="E153" s="20" t="str">
        <f>IFERROR(INDEX(貼り付け場所変換!F:F,MATCH(A153&amp;B153&amp;C153&amp;D153,貼り付け場所変換!H:H,0)),"該当なし")</f>
        <v>該当なし</v>
      </c>
      <c r="F153" s="19" t="str">
        <f>IFERROR(INDEX(貼り付け場所変換!G:G,MATCH(A153&amp;B153&amp;C153&amp;D153,貼り付け場所変換!H:H,0)),"該当なし")</f>
        <v>該当なし</v>
      </c>
    </row>
    <row r="154" spans="1:6">
      <c r="A154" s="19" t="s">
        <v>48</v>
      </c>
      <c r="B154" s="19" t="s">
        <v>40</v>
      </c>
      <c r="C154" s="19">
        <v>3</v>
      </c>
      <c r="D154" s="19" t="s">
        <v>41</v>
      </c>
      <c r="E154" s="20" t="str">
        <f>IFERROR(INDEX(貼り付け場所変換!F:F,MATCH(A154&amp;B154&amp;C154&amp;D154,貼り付け場所変換!H:H,0)),"該当なし")</f>
        <v>該当なし</v>
      </c>
      <c r="F154" s="19" t="str">
        <f>IFERROR(INDEX(貼り付け場所変換!G:G,MATCH(A154&amp;B154&amp;C154&amp;D154,貼り付け場所変換!H:H,0)),"該当なし")</f>
        <v>該当なし</v>
      </c>
    </row>
    <row r="155" spans="1:6">
      <c r="A155" s="19" t="s">
        <v>48</v>
      </c>
      <c r="B155" s="19" t="s">
        <v>40</v>
      </c>
      <c r="C155" s="19">
        <v>4</v>
      </c>
      <c r="D155" s="19" t="s">
        <v>41</v>
      </c>
      <c r="E155" s="20" t="str">
        <f>IFERROR(INDEX(貼り付け場所変換!F:F,MATCH(A155&amp;B155&amp;C155&amp;D155,貼り付け場所変換!H:H,0)),"該当なし")</f>
        <v>該当なし</v>
      </c>
      <c r="F155" s="19" t="str">
        <f>IFERROR(INDEX(貼り付け場所変換!G:G,MATCH(A155&amp;B155&amp;C155&amp;D155,貼り付け場所変換!H:H,0)),"該当なし")</f>
        <v>該当なし</v>
      </c>
    </row>
    <row r="156" spans="1:6">
      <c r="A156" s="19" t="s">
        <v>48</v>
      </c>
      <c r="B156" s="19" t="s">
        <v>40</v>
      </c>
      <c r="C156" s="19">
        <v>5</v>
      </c>
      <c r="D156" s="19" t="s">
        <v>41</v>
      </c>
      <c r="E156" s="20" t="str">
        <f>IFERROR(INDEX(貼り付け場所変換!F:F,MATCH(A156&amp;B156&amp;C156&amp;D156,貼り付け場所変換!H:H,0)),"該当なし")</f>
        <v>該当なし</v>
      </c>
      <c r="F156" s="19" t="str">
        <f>IFERROR(INDEX(貼り付け場所変換!G:G,MATCH(A156&amp;B156&amp;C156&amp;D156,貼り付け場所変換!H:H,0)),"該当なし")</f>
        <v>該当なし</v>
      </c>
    </row>
    <row r="157" spans="1:6">
      <c r="A157" s="19" t="s">
        <v>48</v>
      </c>
      <c r="B157" s="19" t="s">
        <v>40</v>
      </c>
      <c r="C157" s="19">
        <v>6</v>
      </c>
      <c r="D157" s="19" t="s">
        <v>41</v>
      </c>
      <c r="E157" s="20" t="str">
        <f>IFERROR(INDEX(貼り付け場所変換!F:F,MATCH(A157&amp;B157&amp;C157&amp;D157,貼り付け場所変換!H:H,0)),"該当なし")</f>
        <v>該当なし</v>
      </c>
      <c r="F157" s="19" t="str">
        <f>IFERROR(INDEX(貼り付け場所変換!G:G,MATCH(A157&amp;B157&amp;C157&amp;D157,貼り付け場所変換!H:H,0)),"該当なし")</f>
        <v>該当なし</v>
      </c>
    </row>
    <row r="158" spans="1:6">
      <c r="A158" s="19" t="s">
        <v>48</v>
      </c>
      <c r="B158" s="19" t="s">
        <v>40</v>
      </c>
      <c r="C158" s="19">
        <v>7</v>
      </c>
      <c r="D158" s="19" t="s">
        <v>41</v>
      </c>
      <c r="E158" s="20" t="str">
        <f>IFERROR(INDEX(貼り付け場所変換!F:F,MATCH(A158&amp;B158&amp;C158&amp;D158,貼り付け場所変換!H:H,0)),"該当なし")</f>
        <v>該当なし</v>
      </c>
      <c r="F158" s="19" t="str">
        <f>IFERROR(INDEX(貼り付け場所変換!G:G,MATCH(A158&amp;B158&amp;C158&amp;D158,貼り付け場所変換!H:H,0)),"該当なし")</f>
        <v>該当なし</v>
      </c>
    </row>
    <row r="159" spans="1:6">
      <c r="A159" s="19" t="s">
        <v>48</v>
      </c>
      <c r="B159" s="19" t="s">
        <v>40</v>
      </c>
      <c r="C159" s="19">
        <v>8</v>
      </c>
      <c r="D159" s="19" t="s">
        <v>41</v>
      </c>
      <c r="E159" s="20" t="str">
        <f>IFERROR(INDEX(貼り付け場所変換!F:F,MATCH(A159&amp;B159&amp;C159&amp;D159,貼り付け場所変換!H:H,0)),"該当なし")</f>
        <v>該当なし</v>
      </c>
      <c r="F159" s="19" t="str">
        <f>IFERROR(INDEX(貼り付け場所変換!G:G,MATCH(A159&amp;B159&amp;C159&amp;D159,貼り付け場所変換!H:H,0)),"該当なし")</f>
        <v>該当なし</v>
      </c>
    </row>
    <row r="160" spans="1:6">
      <c r="A160" s="19" t="s">
        <v>48</v>
      </c>
      <c r="B160" s="19" t="s">
        <v>40</v>
      </c>
      <c r="C160" s="19">
        <v>9</v>
      </c>
      <c r="D160" s="19" t="s">
        <v>41</v>
      </c>
      <c r="E160" s="20" t="str">
        <f>IFERROR(INDEX(貼り付け場所変換!F:F,MATCH(A160&amp;B160&amp;C160&amp;D160,貼り付け場所変換!H:H,0)),"該当なし")</f>
        <v>該当なし</v>
      </c>
      <c r="F160" s="19" t="str">
        <f>IFERROR(INDEX(貼り付け場所変換!G:G,MATCH(A160&amp;B160&amp;C160&amp;D160,貼り付け場所変換!H:H,0)),"該当なし")</f>
        <v>該当なし</v>
      </c>
    </row>
    <row r="161" spans="1:6">
      <c r="A161" s="19" t="s">
        <v>48</v>
      </c>
      <c r="B161" s="19" t="s">
        <v>40</v>
      </c>
      <c r="C161" s="19">
        <v>10</v>
      </c>
      <c r="D161" s="19" t="s">
        <v>41</v>
      </c>
      <c r="E161" s="20" t="str">
        <f>IFERROR(INDEX(貼り付け場所変換!F:F,MATCH(A161&amp;B161&amp;C161&amp;D161,貼り付け場所変換!H:H,0)),"該当なし")</f>
        <v>該当なし</v>
      </c>
      <c r="F161" s="19" t="str">
        <f>IFERROR(INDEX(貼り付け場所変換!G:G,MATCH(A161&amp;B161&amp;C161&amp;D161,貼り付け場所変換!H:H,0)),"該当なし")</f>
        <v>該当なし</v>
      </c>
    </row>
    <row r="162" spans="1:6">
      <c r="A162" s="19" t="s">
        <v>48</v>
      </c>
      <c r="B162" s="19" t="s">
        <v>40</v>
      </c>
      <c r="C162" s="19">
        <v>1</v>
      </c>
      <c r="D162" s="19" t="s">
        <v>42</v>
      </c>
      <c r="E162" s="20" t="str">
        <f>IFERROR(INDEX(貼り付け場所変換!F:F,MATCH(A162&amp;B162&amp;C162&amp;D162,貼り付け場所変換!H:H,0)),"該当なし")</f>
        <v>該当なし</v>
      </c>
      <c r="F162" s="19" t="str">
        <f>IFERROR(INDEX(貼り付け場所変換!G:G,MATCH(A162&amp;B162&amp;C162&amp;D162,貼り付け場所変換!H:H,0)),"該当なし")</f>
        <v>該当なし</v>
      </c>
    </row>
    <row r="163" spans="1:6">
      <c r="A163" s="19" t="s">
        <v>48</v>
      </c>
      <c r="B163" s="19" t="s">
        <v>40</v>
      </c>
      <c r="C163" s="19">
        <v>2</v>
      </c>
      <c r="D163" s="19" t="s">
        <v>42</v>
      </c>
      <c r="E163" s="20" t="str">
        <f>IFERROR(INDEX(貼り付け場所変換!F:F,MATCH(A163&amp;B163&amp;C163&amp;D163,貼り付け場所変換!H:H,0)),"該当なし")</f>
        <v>該当なし</v>
      </c>
      <c r="F163" s="19" t="str">
        <f>IFERROR(INDEX(貼り付け場所変換!G:G,MATCH(A163&amp;B163&amp;C163&amp;D163,貼り付け場所変換!H:H,0)),"該当なし")</f>
        <v>該当なし</v>
      </c>
    </row>
    <row r="164" spans="1:6">
      <c r="A164" s="19" t="s">
        <v>48</v>
      </c>
      <c r="B164" s="19" t="s">
        <v>40</v>
      </c>
      <c r="C164" s="19">
        <v>3</v>
      </c>
      <c r="D164" s="19" t="s">
        <v>42</v>
      </c>
      <c r="E164" s="20" t="str">
        <f>IFERROR(INDEX(貼り付け場所変換!F:F,MATCH(A164&amp;B164&amp;C164&amp;D164,貼り付け場所変換!H:H,0)),"該当なし")</f>
        <v>該当なし</v>
      </c>
      <c r="F164" s="19" t="str">
        <f>IFERROR(INDEX(貼り付け場所変換!G:G,MATCH(A164&amp;B164&amp;C164&amp;D164,貼り付け場所変換!H:H,0)),"該当なし")</f>
        <v>該当なし</v>
      </c>
    </row>
    <row r="165" spans="1:6">
      <c r="A165" s="19" t="s">
        <v>48</v>
      </c>
      <c r="B165" s="19" t="s">
        <v>40</v>
      </c>
      <c r="C165" s="19">
        <v>4</v>
      </c>
      <c r="D165" s="19" t="s">
        <v>42</v>
      </c>
      <c r="E165" s="20" t="str">
        <f>IFERROR(INDEX(貼り付け場所変換!F:F,MATCH(A165&amp;B165&amp;C165&amp;D165,貼り付け場所変換!H:H,0)),"該当なし")</f>
        <v>該当なし</v>
      </c>
      <c r="F165" s="19" t="str">
        <f>IFERROR(INDEX(貼り付け場所変換!G:G,MATCH(A165&amp;B165&amp;C165&amp;D165,貼り付け場所変換!H:H,0)),"該当なし")</f>
        <v>該当なし</v>
      </c>
    </row>
    <row r="166" spans="1:6">
      <c r="A166" s="19" t="s">
        <v>48</v>
      </c>
      <c r="B166" s="19" t="s">
        <v>40</v>
      </c>
      <c r="C166" s="19">
        <v>5</v>
      </c>
      <c r="D166" s="19" t="s">
        <v>42</v>
      </c>
      <c r="E166" s="20" t="str">
        <f>IFERROR(INDEX(貼り付け場所変換!F:F,MATCH(A166&amp;B166&amp;C166&amp;D166,貼り付け場所変換!H:H,0)),"該当なし")</f>
        <v>該当なし</v>
      </c>
      <c r="F166" s="19" t="str">
        <f>IFERROR(INDEX(貼り付け場所変換!G:G,MATCH(A166&amp;B166&amp;C166&amp;D166,貼り付け場所変換!H:H,0)),"該当なし")</f>
        <v>該当なし</v>
      </c>
    </row>
    <row r="167" spans="1:6">
      <c r="A167" s="19" t="s">
        <v>48</v>
      </c>
      <c r="B167" s="19" t="s">
        <v>40</v>
      </c>
      <c r="C167" s="19">
        <v>6</v>
      </c>
      <c r="D167" s="19" t="s">
        <v>42</v>
      </c>
      <c r="E167" s="20" t="str">
        <f>IFERROR(INDEX(貼り付け場所変換!F:F,MATCH(A167&amp;B167&amp;C167&amp;D167,貼り付け場所変換!H:H,0)),"該当なし")</f>
        <v>該当なし</v>
      </c>
      <c r="F167" s="19" t="str">
        <f>IFERROR(INDEX(貼り付け場所変換!G:G,MATCH(A167&amp;B167&amp;C167&amp;D167,貼り付け場所変換!H:H,0)),"該当なし")</f>
        <v>該当なし</v>
      </c>
    </row>
    <row r="168" spans="1:6">
      <c r="A168" s="19" t="s">
        <v>48</v>
      </c>
      <c r="B168" s="19" t="s">
        <v>40</v>
      </c>
      <c r="C168" s="19">
        <v>7</v>
      </c>
      <c r="D168" s="19" t="s">
        <v>42</v>
      </c>
      <c r="E168" s="20" t="str">
        <f>IFERROR(INDEX(貼り付け場所変換!F:F,MATCH(A168&amp;B168&amp;C168&amp;D168,貼り付け場所変換!H:H,0)),"該当なし")</f>
        <v>該当なし</v>
      </c>
      <c r="F168" s="19" t="str">
        <f>IFERROR(INDEX(貼り付け場所変換!G:G,MATCH(A168&amp;B168&amp;C168&amp;D168,貼り付け場所変換!H:H,0)),"該当なし")</f>
        <v>該当なし</v>
      </c>
    </row>
    <row r="169" spans="1:6">
      <c r="A169" s="19" t="s">
        <v>48</v>
      </c>
      <c r="B169" s="19" t="s">
        <v>40</v>
      </c>
      <c r="C169" s="19">
        <v>8</v>
      </c>
      <c r="D169" s="19" t="s">
        <v>42</v>
      </c>
      <c r="E169" s="20" t="str">
        <f>IFERROR(INDEX(貼り付け場所変換!F:F,MATCH(A169&amp;B169&amp;C169&amp;D169,貼り付け場所変換!H:H,0)),"該当なし")</f>
        <v>該当なし</v>
      </c>
      <c r="F169" s="19" t="str">
        <f>IFERROR(INDEX(貼り付け場所変換!G:G,MATCH(A169&amp;B169&amp;C169&amp;D169,貼り付け場所変換!H:H,0)),"該当なし")</f>
        <v>該当なし</v>
      </c>
    </row>
    <row r="170" spans="1:6">
      <c r="A170" s="19" t="s">
        <v>48</v>
      </c>
      <c r="B170" s="19" t="s">
        <v>40</v>
      </c>
      <c r="C170" s="19">
        <v>9</v>
      </c>
      <c r="D170" s="19" t="s">
        <v>42</v>
      </c>
      <c r="E170" s="20" t="str">
        <f>IFERROR(INDEX(貼り付け場所変換!F:F,MATCH(A170&amp;B170&amp;C170&amp;D170,貼り付け場所変換!H:H,0)),"該当なし")</f>
        <v>該当なし</v>
      </c>
      <c r="F170" s="19" t="str">
        <f>IFERROR(INDEX(貼り付け場所変換!G:G,MATCH(A170&amp;B170&amp;C170&amp;D170,貼り付け場所変換!H:H,0)),"該当なし")</f>
        <v>該当なし</v>
      </c>
    </row>
    <row r="171" spans="1:6">
      <c r="A171" s="19" t="s">
        <v>48</v>
      </c>
      <c r="B171" s="19" t="s">
        <v>40</v>
      </c>
      <c r="C171" s="19">
        <v>10</v>
      </c>
      <c r="D171" s="19" t="s">
        <v>42</v>
      </c>
      <c r="E171" s="20" t="str">
        <f>IFERROR(INDEX(貼り付け場所変換!F:F,MATCH(A171&amp;B171&amp;C171&amp;D171,貼り付け場所変換!H:H,0)),"該当なし")</f>
        <v>該当なし</v>
      </c>
      <c r="F171" s="19" t="str">
        <f>IFERROR(INDEX(貼り付け場所変換!G:G,MATCH(A171&amp;B171&amp;C171&amp;D171,貼り付け場所変換!H:H,0)),"該当なし")</f>
        <v>該当なし</v>
      </c>
    </row>
    <row r="172" spans="1:6">
      <c r="A172" s="19" t="s">
        <v>48</v>
      </c>
      <c r="B172" s="19" t="s">
        <v>40</v>
      </c>
      <c r="C172" s="19">
        <v>1</v>
      </c>
      <c r="D172" s="19" t="s">
        <v>43</v>
      </c>
      <c r="E172" s="20" t="str">
        <f>IFERROR(INDEX(貼り付け場所変換!F:F,MATCH(A172&amp;B172&amp;C172&amp;D172,貼り付け場所変換!H:H,0)),"該当なし")</f>
        <v>該当なし</v>
      </c>
      <c r="F172" s="19" t="str">
        <f>IFERROR(INDEX(貼り付け場所変換!G:G,MATCH(A172&amp;B172&amp;C172&amp;D172,貼り付け場所変換!H:H,0)),"該当なし")</f>
        <v>該当なし</v>
      </c>
    </row>
    <row r="173" spans="1:6">
      <c r="A173" s="19" t="s">
        <v>48</v>
      </c>
      <c r="B173" s="19" t="s">
        <v>40</v>
      </c>
      <c r="C173" s="19">
        <v>2</v>
      </c>
      <c r="D173" s="19" t="s">
        <v>43</v>
      </c>
      <c r="E173" s="20" t="str">
        <f>IFERROR(INDEX(貼り付け場所変換!F:F,MATCH(A173&amp;B173&amp;C173&amp;D173,貼り付け場所変換!H:H,0)),"該当なし")</f>
        <v>該当なし</v>
      </c>
      <c r="F173" s="19" t="str">
        <f>IFERROR(INDEX(貼り付け場所変換!G:G,MATCH(A173&amp;B173&amp;C173&amp;D173,貼り付け場所変換!H:H,0)),"該当なし")</f>
        <v>該当なし</v>
      </c>
    </row>
    <row r="174" spans="1:6">
      <c r="A174" s="19" t="s">
        <v>48</v>
      </c>
      <c r="B174" s="19" t="s">
        <v>40</v>
      </c>
      <c r="C174" s="19">
        <v>3</v>
      </c>
      <c r="D174" s="19" t="s">
        <v>43</v>
      </c>
      <c r="E174" s="20" t="str">
        <f>IFERROR(INDEX(貼り付け場所変換!F:F,MATCH(A174&amp;B174&amp;C174&amp;D174,貼り付け場所変換!H:H,0)),"該当なし")</f>
        <v>該当なし</v>
      </c>
      <c r="F174" s="19" t="str">
        <f>IFERROR(INDEX(貼り付け場所変換!G:G,MATCH(A174&amp;B174&amp;C174&amp;D174,貼り付け場所変換!H:H,0)),"該当なし")</f>
        <v>該当なし</v>
      </c>
    </row>
    <row r="175" spans="1:6">
      <c r="A175" s="19" t="s">
        <v>48</v>
      </c>
      <c r="B175" s="19" t="s">
        <v>40</v>
      </c>
      <c r="C175" s="19">
        <v>4</v>
      </c>
      <c r="D175" s="19" t="s">
        <v>43</v>
      </c>
      <c r="E175" s="20" t="str">
        <f>IFERROR(INDEX(貼り付け場所変換!F:F,MATCH(A175&amp;B175&amp;C175&amp;D175,貼り付け場所変換!H:H,0)),"該当なし")</f>
        <v>該当なし</v>
      </c>
      <c r="F175" s="19" t="str">
        <f>IFERROR(INDEX(貼り付け場所変換!G:G,MATCH(A175&amp;B175&amp;C175&amp;D175,貼り付け場所変換!H:H,0)),"該当なし")</f>
        <v>該当なし</v>
      </c>
    </row>
    <row r="176" spans="1:6">
      <c r="A176" s="19" t="s">
        <v>48</v>
      </c>
      <c r="B176" s="19" t="s">
        <v>40</v>
      </c>
      <c r="C176" s="19">
        <v>5</v>
      </c>
      <c r="D176" s="19" t="s">
        <v>43</v>
      </c>
      <c r="E176" s="20" t="str">
        <f>IFERROR(INDEX(貼り付け場所変換!F:F,MATCH(A176&amp;B176&amp;C176&amp;D176,貼り付け場所変換!H:H,0)),"該当なし")</f>
        <v>該当なし</v>
      </c>
      <c r="F176" s="19" t="str">
        <f>IFERROR(INDEX(貼り付け場所変換!G:G,MATCH(A176&amp;B176&amp;C176&amp;D176,貼り付け場所変換!H:H,0)),"該当なし")</f>
        <v>該当なし</v>
      </c>
    </row>
    <row r="177" spans="1:6">
      <c r="A177" s="19" t="s">
        <v>48</v>
      </c>
      <c r="B177" s="19" t="s">
        <v>40</v>
      </c>
      <c r="C177" s="19">
        <v>6</v>
      </c>
      <c r="D177" s="19" t="s">
        <v>43</v>
      </c>
      <c r="E177" s="20" t="str">
        <f>IFERROR(INDEX(貼り付け場所変換!F:F,MATCH(A177&amp;B177&amp;C177&amp;D177,貼り付け場所変換!H:H,0)),"該当なし")</f>
        <v>該当なし</v>
      </c>
      <c r="F177" s="19" t="str">
        <f>IFERROR(INDEX(貼り付け場所変換!G:G,MATCH(A177&amp;B177&amp;C177&amp;D177,貼り付け場所変換!H:H,0)),"該当なし")</f>
        <v>該当なし</v>
      </c>
    </row>
    <row r="178" spans="1:6">
      <c r="A178" s="19" t="s">
        <v>48</v>
      </c>
      <c r="B178" s="19" t="s">
        <v>40</v>
      </c>
      <c r="C178" s="19">
        <v>7</v>
      </c>
      <c r="D178" s="19" t="s">
        <v>43</v>
      </c>
      <c r="E178" s="20" t="str">
        <f>IFERROR(INDEX(貼り付け場所変換!F:F,MATCH(A178&amp;B178&amp;C178&amp;D178,貼り付け場所変換!H:H,0)),"該当なし")</f>
        <v>該当なし</v>
      </c>
      <c r="F178" s="19" t="str">
        <f>IFERROR(INDEX(貼り付け場所変換!G:G,MATCH(A178&amp;B178&amp;C178&amp;D178,貼り付け場所変換!H:H,0)),"該当なし")</f>
        <v>該当なし</v>
      </c>
    </row>
    <row r="179" spans="1:6">
      <c r="A179" s="19" t="s">
        <v>48</v>
      </c>
      <c r="B179" s="19" t="s">
        <v>40</v>
      </c>
      <c r="C179" s="19">
        <v>8</v>
      </c>
      <c r="D179" s="19" t="s">
        <v>43</v>
      </c>
      <c r="E179" s="20" t="str">
        <f>IFERROR(INDEX(貼り付け場所変換!F:F,MATCH(A179&amp;B179&amp;C179&amp;D179,貼り付け場所変換!H:H,0)),"該当なし")</f>
        <v>該当なし</v>
      </c>
      <c r="F179" s="19" t="str">
        <f>IFERROR(INDEX(貼り付け場所変換!G:G,MATCH(A179&amp;B179&amp;C179&amp;D179,貼り付け場所変換!H:H,0)),"該当なし")</f>
        <v>該当なし</v>
      </c>
    </row>
    <row r="180" spans="1:6">
      <c r="A180" s="19" t="s">
        <v>48</v>
      </c>
      <c r="B180" s="19" t="s">
        <v>40</v>
      </c>
      <c r="C180" s="19">
        <v>9</v>
      </c>
      <c r="D180" s="19" t="s">
        <v>43</v>
      </c>
      <c r="E180" s="20" t="str">
        <f>IFERROR(INDEX(貼り付け場所変換!F:F,MATCH(A180&amp;B180&amp;C180&amp;D180,貼り付け場所変換!H:H,0)),"該当なし")</f>
        <v>該当なし</v>
      </c>
      <c r="F180" s="19" t="str">
        <f>IFERROR(INDEX(貼り付け場所変換!G:G,MATCH(A180&amp;B180&amp;C180&amp;D180,貼り付け場所変換!H:H,0)),"該当なし")</f>
        <v>該当なし</v>
      </c>
    </row>
    <row r="181" spans="1:6">
      <c r="A181" s="19" t="s">
        <v>48</v>
      </c>
      <c r="B181" s="19" t="s">
        <v>40</v>
      </c>
      <c r="C181" s="19">
        <v>10</v>
      </c>
      <c r="D181" s="19" t="s">
        <v>43</v>
      </c>
      <c r="E181" s="20" t="str">
        <f>IFERROR(INDEX(貼り付け場所変換!F:F,MATCH(A181&amp;B181&amp;C181&amp;D181,貼り付け場所変換!H:H,0)),"該当なし")</f>
        <v>該当なし</v>
      </c>
      <c r="F181" s="19" t="str">
        <f>IFERROR(INDEX(貼り付け場所変換!G:G,MATCH(A181&amp;B181&amp;C181&amp;D181,貼り付け場所変換!H:H,0)),"該当なし")</f>
        <v>該当なし</v>
      </c>
    </row>
    <row r="182" spans="1:6">
      <c r="A182" s="19" t="s">
        <v>48</v>
      </c>
      <c r="B182" s="19" t="s">
        <v>44</v>
      </c>
      <c r="C182" s="19">
        <v>1</v>
      </c>
      <c r="D182" s="19" t="s">
        <v>41</v>
      </c>
      <c r="E182" s="20" t="str">
        <f>IFERROR(INDEX(貼り付け場所変換!F:F,MATCH(A182&amp;B182&amp;C182&amp;D182,貼り付け場所変換!H:H,0)),"該当なし")</f>
        <v>該当なし</v>
      </c>
      <c r="F182" s="19" t="str">
        <f>IFERROR(INDEX(貼り付け場所変換!G:G,MATCH(A182&amp;B182&amp;C182&amp;D182,貼り付け場所変換!H:H,0)),"該当なし")</f>
        <v>該当なし</v>
      </c>
    </row>
    <row r="183" spans="1:6">
      <c r="A183" s="19" t="s">
        <v>48</v>
      </c>
      <c r="B183" s="19" t="s">
        <v>44</v>
      </c>
      <c r="C183" s="19">
        <v>2</v>
      </c>
      <c r="D183" s="19" t="s">
        <v>41</v>
      </c>
      <c r="E183" s="20" t="str">
        <f>IFERROR(INDEX(貼り付け場所変換!F:F,MATCH(A183&amp;B183&amp;C183&amp;D183,貼り付け場所変換!H:H,0)),"該当なし")</f>
        <v>該当なし</v>
      </c>
      <c r="F183" s="19" t="str">
        <f>IFERROR(INDEX(貼り付け場所変換!G:G,MATCH(A183&amp;B183&amp;C183&amp;D183,貼り付け場所変換!H:H,0)),"該当なし")</f>
        <v>該当なし</v>
      </c>
    </row>
    <row r="184" spans="1:6">
      <c r="A184" s="19" t="s">
        <v>48</v>
      </c>
      <c r="B184" s="19" t="s">
        <v>44</v>
      </c>
      <c r="C184" s="19">
        <v>3</v>
      </c>
      <c r="D184" s="19" t="s">
        <v>41</v>
      </c>
      <c r="E184" s="20" t="str">
        <f>IFERROR(INDEX(貼り付け場所変換!F:F,MATCH(A184&amp;B184&amp;C184&amp;D184,貼り付け場所変換!H:H,0)),"該当なし")</f>
        <v>該当なし</v>
      </c>
      <c r="F184" s="19" t="str">
        <f>IFERROR(INDEX(貼り付け場所変換!G:G,MATCH(A184&amp;B184&amp;C184&amp;D184,貼り付け場所変換!H:H,0)),"該当なし")</f>
        <v>該当なし</v>
      </c>
    </row>
    <row r="185" spans="1:6">
      <c r="A185" s="19" t="s">
        <v>48</v>
      </c>
      <c r="B185" s="19" t="s">
        <v>44</v>
      </c>
      <c r="C185" s="19">
        <v>4</v>
      </c>
      <c r="D185" s="19" t="s">
        <v>41</v>
      </c>
      <c r="E185" s="20" t="str">
        <f>IFERROR(INDEX(貼り付け場所変換!F:F,MATCH(A185&amp;B185&amp;C185&amp;D185,貼り付け場所変換!H:H,0)),"該当なし")</f>
        <v>該当なし</v>
      </c>
      <c r="F185" s="19" t="str">
        <f>IFERROR(INDEX(貼り付け場所変換!G:G,MATCH(A185&amp;B185&amp;C185&amp;D185,貼り付け場所変換!H:H,0)),"該当なし")</f>
        <v>該当なし</v>
      </c>
    </row>
    <row r="186" spans="1:6">
      <c r="A186" s="19" t="s">
        <v>48</v>
      </c>
      <c r="B186" s="19" t="s">
        <v>44</v>
      </c>
      <c r="C186" s="19">
        <v>5</v>
      </c>
      <c r="D186" s="19" t="s">
        <v>41</v>
      </c>
      <c r="E186" s="20" t="str">
        <f>IFERROR(INDEX(貼り付け場所変換!F:F,MATCH(A186&amp;B186&amp;C186&amp;D186,貼り付け場所変換!H:H,0)),"該当なし")</f>
        <v>該当なし</v>
      </c>
      <c r="F186" s="19" t="str">
        <f>IFERROR(INDEX(貼り付け場所変換!G:G,MATCH(A186&amp;B186&amp;C186&amp;D186,貼り付け場所変換!H:H,0)),"該当なし")</f>
        <v>該当なし</v>
      </c>
    </row>
    <row r="187" spans="1:6">
      <c r="A187" s="19" t="s">
        <v>48</v>
      </c>
      <c r="B187" s="19" t="s">
        <v>44</v>
      </c>
      <c r="C187" s="19">
        <v>6</v>
      </c>
      <c r="D187" s="19" t="s">
        <v>41</v>
      </c>
      <c r="E187" s="20" t="str">
        <f>IFERROR(INDEX(貼り付け場所変換!F:F,MATCH(A187&amp;B187&amp;C187&amp;D187,貼り付け場所変換!H:H,0)),"該当なし")</f>
        <v>該当なし</v>
      </c>
      <c r="F187" s="19" t="str">
        <f>IFERROR(INDEX(貼り付け場所変換!G:G,MATCH(A187&amp;B187&amp;C187&amp;D187,貼り付け場所変換!H:H,0)),"該当なし")</f>
        <v>該当なし</v>
      </c>
    </row>
    <row r="188" spans="1:6">
      <c r="A188" s="19" t="s">
        <v>48</v>
      </c>
      <c r="B188" s="19" t="s">
        <v>44</v>
      </c>
      <c r="C188" s="19">
        <v>7</v>
      </c>
      <c r="D188" s="19" t="s">
        <v>41</v>
      </c>
      <c r="E188" s="20" t="str">
        <f>IFERROR(INDEX(貼り付け場所変換!F:F,MATCH(A188&amp;B188&amp;C188&amp;D188,貼り付け場所変換!H:H,0)),"該当なし")</f>
        <v>該当なし</v>
      </c>
      <c r="F188" s="19" t="str">
        <f>IFERROR(INDEX(貼り付け場所変換!G:G,MATCH(A188&amp;B188&amp;C188&amp;D188,貼り付け場所変換!H:H,0)),"該当なし")</f>
        <v>該当なし</v>
      </c>
    </row>
    <row r="189" spans="1:6">
      <c r="A189" s="19" t="s">
        <v>48</v>
      </c>
      <c r="B189" s="19" t="s">
        <v>44</v>
      </c>
      <c r="C189" s="19">
        <v>8</v>
      </c>
      <c r="D189" s="19" t="s">
        <v>41</v>
      </c>
      <c r="E189" s="20" t="str">
        <f>IFERROR(INDEX(貼り付け場所変換!F:F,MATCH(A189&amp;B189&amp;C189&amp;D189,貼り付け場所変換!H:H,0)),"該当なし")</f>
        <v>該当なし</v>
      </c>
      <c r="F189" s="19" t="str">
        <f>IFERROR(INDEX(貼り付け場所変換!G:G,MATCH(A189&amp;B189&amp;C189&amp;D189,貼り付け場所変換!H:H,0)),"該当なし")</f>
        <v>該当なし</v>
      </c>
    </row>
    <row r="190" spans="1:6">
      <c r="A190" s="19" t="s">
        <v>48</v>
      </c>
      <c r="B190" s="19" t="s">
        <v>44</v>
      </c>
      <c r="C190" s="19">
        <v>9</v>
      </c>
      <c r="D190" s="19" t="s">
        <v>41</v>
      </c>
      <c r="E190" s="20" t="str">
        <f>IFERROR(INDEX(貼り付け場所変換!F:F,MATCH(A190&amp;B190&amp;C190&amp;D190,貼り付け場所変換!H:H,0)),"該当なし")</f>
        <v>該当なし</v>
      </c>
      <c r="F190" s="19" t="str">
        <f>IFERROR(INDEX(貼り付け場所変換!G:G,MATCH(A190&amp;B190&amp;C190&amp;D190,貼り付け場所変換!H:H,0)),"該当なし")</f>
        <v>該当なし</v>
      </c>
    </row>
    <row r="191" spans="1:6">
      <c r="A191" s="19" t="s">
        <v>48</v>
      </c>
      <c r="B191" s="19" t="s">
        <v>44</v>
      </c>
      <c r="C191" s="19">
        <v>10</v>
      </c>
      <c r="D191" s="19" t="s">
        <v>41</v>
      </c>
      <c r="E191" s="20" t="str">
        <f>IFERROR(INDEX(貼り付け場所変換!F:F,MATCH(A191&amp;B191&amp;C191&amp;D191,貼り付け場所変換!H:H,0)),"該当なし")</f>
        <v>該当なし</v>
      </c>
      <c r="F191" s="19" t="str">
        <f>IFERROR(INDEX(貼り付け場所変換!G:G,MATCH(A191&amp;B191&amp;C191&amp;D191,貼り付け場所変換!H:H,0)),"該当なし")</f>
        <v>該当なし</v>
      </c>
    </row>
    <row r="192" spans="1:6">
      <c r="A192" s="19" t="s">
        <v>48</v>
      </c>
      <c r="B192" s="19" t="s">
        <v>44</v>
      </c>
      <c r="C192" s="19">
        <v>1</v>
      </c>
      <c r="D192" s="19" t="s">
        <v>42</v>
      </c>
      <c r="E192" s="20">
        <f>IFERROR(INDEX(貼り付け場所変換!F:F,MATCH(A192&amp;B192&amp;C192&amp;D192,貼り付け場所変換!H:H,0)),"該当なし")</f>
        <v>5.34</v>
      </c>
      <c r="F192" s="19" t="str">
        <f>IFERROR(INDEX(貼り付け場所変換!G:G,MATCH(A192&amp;B192&amp;C192&amp;D192,貼り付け場所変換!H:H,0)),"該当なし")</f>
        <v>破断状態B</v>
      </c>
    </row>
    <row r="193" spans="1:6">
      <c r="A193" s="19" t="s">
        <v>48</v>
      </c>
      <c r="B193" s="19" t="s">
        <v>44</v>
      </c>
      <c r="C193" s="19">
        <v>2</v>
      </c>
      <c r="D193" s="19" t="s">
        <v>42</v>
      </c>
      <c r="E193" s="20">
        <f>IFERROR(INDEX(貼り付け場所変換!F:F,MATCH(A193&amp;B193&amp;C193&amp;D193,貼り付け場所変換!H:H,0)),"該当なし")</f>
        <v>7.48</v>
      </c>
      <c r="F193" s="19" t="str">
        <f>IFERROR(INDEX(貼り付け場所変換!G:G,MATCH(A193&amp;B193&amp;C193&amp;D193,貼り付け場所変換!H:H,0)),"該当なし")</f>
        <v>破断状態B</v>
      </c>
    </row>
    <row r="194" spans="1:6">
      <c r="A194" s="19" t="s">
        <v>48</v>
      </c>
      <c r="B194" s="19" t="s">
        <v>44</v>
      </c>
      <c r="C194" s="19">
        <v>3</v>
      </c>
      <c r="D194" s="19" t="s">
        <v>42</v>
      </c>
      <c r="E194" s="20">
        <f>IFERROR(INDEX(貼り付け場所変換!F:F,MATCH(A194&amp;B194&amp;C194&amp;D194,貼り付け場所変換!H:H,0)),"該当なし")</f>
        <v>8.57</v>
      </c>
      <c r="F194" s="19" t="str">
        <f>IFERROR(INDEX(貼り付け場所変換!G:G,MATCH(A194&amp;B194&amp;C194&amp;D194,貼り付け場所変換!H:H,0)),"該当なし")</f>
        <v>破断状態A</v>
      </c>
    </row>
    <row r="195" spans="1:6">
      <c r="A195" s="19" t="s">
        <v>48</v>
      </c>
      <c r="B195" s="19" t="s">
        <v>44</v>
      </c>
      <c r="C195" s="19">
        <v>4</v>
      </c>
      <c r="D195" s="19" t="s">
        <v>42</v>
      </c>
      <c r="E195" s="20">
        <f>IFERROR(INDEX(貼り付け場所変換!F:F,MATCH(A195&amp;B195&amp;C195&amp;D195,貼り付け場所変換!H:H,0)),"該当なし")</f>
        <v>5.03</v>
      </c>
      <c r="F195" s="19" t="str">
        <f>IFERROR(INDEX(貼り付け場所変換!G:G,MATCH(A195&amp;B195&amp;C195&amp;D195,貼り付け場所変換!H:H,0)),"該当なし")</f>
        <v>破断状態C</v>
      </c>
    </row>
    <row r="196" spans="1:6">
      <c r="A196" s="19" t="s">
        <v>48</v>
      </c>
      <c r="B196" s="19" t="s">
        <v>44</v>
      </c>
      <c r="C196" s="19">
        <v>5</v>
      </c>
      <c r="D196" s="19" t="s">
        <v>42</v>
      </c>
      <c r="E196" s="20">
        <f>IFERROR(INDEX(貼り付け場所変換!F:F,MATCH(A196&amp;B196&amp;C196&amp;D196,貼り付け場所変換!H:H,0)),"該当なし")</f>
        <v>7.48</v>
      </c>
      <c r="F196" s="19" t="str">
        <f>IFERROR(INDEX(貼り付け場所変換!G:G,MATCH(A196&amp;B196&amp;C196&amp;D196,貼り付け場所変換!H:H,0)),"該当なし")</f>
        <v>破断状態C</v>
      </c>
    </row>
    <row r="197" spans="1:6">
      <c r="A197" s="19" t="s">
        <v>48</v>
      </c>
      <c r="B197" s="19" t="s">
        <v>44</v>
      </c>
      <c r="C197" s="19">
        <v>6</v>
      </c>
      <c r="D197" s="19" t="s">
        <v>42</v>
      </c>
      <c r="E197" s="20" t="str">
        <f>IFERROR(INDEX(貼り付け場所変換!F:F,MATCH(A197&amp;B197&amp;C197&amp;D197,貼り付け場所変換!H:H,0)),"該当なし")</f>
        <v>該当なし</v>
      </c>
      <c r="F197" s="19" t="str">
        <f>IFERROR(INDEX(貼り付け場所変換!G:G,MATCH(A197&amp;B197&amp;C197&amp;D197,貼り付け場所変換!H:H,0)),"該当なし")</f>
        <v>該当なし</v>
      </c>
    </row>
    <row r="198" spans="1:6">
      <c r="A198" s="19" t="s">
        <v>48</v>
      </c>
      <c r="B198" s="19" t="s">
        <v>44</v>
      </c>
      <c r="C198" s="19">
        <v>7</v>
      </c>
      <c r="D198" s="19" t="s">
        <v>42</v>
      </c>
      <c r="E198" s="20" t="str">
        <f>IFERROR(INDEX(貼り付け場所変換!F:F,MATCH(A198&amp;B198&amp;C198&amp;D198,貼り付け場所変換!H:H,0)),"該当なし")</f>
        <v>該当なし</v>
      </c>
      <c r="F198" s="19" t="str">
        <f>IFERROR(INDEX(貼り付け場所変換!G:G,MATCH(A198&amp;B198&amp;C198&amp;D198,貼り付け場所変換!H:H,0)),"該当なし")</f>
        <v>該当なし</v>
      </c>
    </row>
    <row r="199" spans="1:6">
      <c r="A199" s="19" t="s">
        <v>48</v>
      </c>
      <c r="B199" s="19" t="s">
        <v>44</v>
      </c>
      <c r="C199" s="19">
        <v>8</v>
      </c>
      <c r="D199" s="19" t="s">
        <v>42</v>
      </c>
      <c r="E199" s="20" t="str">
        <f>IFERROR(INDEX(貼り付け場所変換!F:F,MATCH(A199&amp;B199&amp;C199&amp;D199,貼り付け場所変換!H:H,0)),"該当なし")</f>
        <v>該当なし</v>
      </c>
      <c r="F199" s="19" t="str">
        <f>IFERROR(INDEX(貼り付け場所変換!G:G,MATCH(A199&amp;B199&amp;C199&amp;D199,貼り付け場所変換!H:H,0)),"該当なし")</f>
        <v>該当なし</v>
      </c>
    </row>
    <row r="200" spans="1:6">
      <c r="A200" s="19" t="s">
        <v>48</v>
      </c>
      <c r="B200" s="19" t="s">
        <v>44</v>
      </c>
      <c r="C200" s="19">
        <v>9</v>
      </c>
      <c r="D200" s="19" t="s">
        <v>42</v>
      </c>
      <c r="E200" s="20" t="str">
        <f>IFERROR(INDEX(貼り付け場所変換!F:F,MATCH(A200&amp;B200&amp;C200&amp;D200,貼り付け場所変換!H:H,0)),"該当なし")</f>
        <v>該当なし</v>
      </c>
      <c r="F200" s="19" t="str">
        <f>IFERROR(INDEX(貼り付け場所変換!G:G,MATCH(A200&amp;B200&amp;C200&amp;D200,貼り付け場所変換!H:H,0)),"該当なし")</f>
        <v>該当なし</v>
      </c>
    </row>
    <row r="201" spans="1:6">
      <c r="A201" s="19" t="s">
        <v>48</v>
      </c>
      <c r="B201" s="19" t="s">
        <v>44</v>
      </c>
      <c r="C201" s="19">
        <v>10</v>
      </c>
      <c r="D201" s="19" t="s">
        <v>42</v>
      </c>
      <c r="E201" s="20" t="str">
        <f>IFERROR(INDEX(貼り付け場所変換!F:F,MATCH(A201&amp;B201&amp;C201&amp;D201,貼り付け場所変換!H:H,0)),"該当なし")</f>
        <v>該当なし</v>
      </c>
      <c r="F201" s="19" t="str">
        <f>IFERROR(INDEX(貼り付け場所変換!G:G,MATCH(A201&amp;B201&amp;C201&amp;D201,貼り付け場所変換!H:H,0)),"該当なし")</f>
        <v>該当なし</v>
      </c>
    </row>
    <row r="202" spans="1:6">
      <c r="A202" s="19" t="s">
        <v>48</v>
      </c>
      <c r="B202" s="19" t="s">
        <v>44</v>
      </c>
      <c r="C202" s="19">
        <v>1</v>
      </c>
      <c r="D202" s="19" t="s">
        <v>43</v>
      </c>
      <c r="E202" s="20" t="str">
        <f>IFERROR(INDEX(貼り付け場所変換!F:F,MATCH(A202&amp;B202&amp;C202&amp;D202,貼り付け場所変換!H:H,0)),"該当なし")</f>
        <v>該当なし</v>
      </c>
      <c r="F202" s="19" t="str">
        <f>IFERROR(INDEX(貼り付け場所変換!G:G,MATCH(A202&amp;B202&amp;C202&amp;D202,貼り付け場所変換!H:H,0)),"該当なし")</f>
        <v>該当なし</v>
      </c>
    </row>
    <row r="203" spans="1:6">
      <c r="A203" s="19" t="s">
        <v>48</v>
      </c>
      <c r="B203" s="19" t="s">
        <v>44</v>
      </c>
      <c r="C203" s="19">
        <v>2</v>
      </c>
      <c r="D203" s="19" t="s">
        <v>43</v>
      </c>
      <c r="E203" s="20" t="str">
        <f>IFERROR(INDEX(貼り付け場所変換!F:F,MATCH(A203&amp;B203&amp;C203&amp;D203,貼り付け場所変換!H:H,0)),"該当なし")</f>
        <v>該当なし</v>
      </c>
      <c r="F203" s="19" t="str">
        <f>IFERROR(INDEX(貼り付け場所変換!G:G,MATCH(A203&amp;B203&amp;C203&amp;D203,貼り付け場所変換!H:H,0)),"該当なし")</f>
        <v>該当なし</v>
      </c>
    </row>
    <row r="204" spans="1:6">
      <c r="A204" s="19" t="s">
        <v>48</v>
      </c>
      <c r="B204" s="19" t="s">
        <v>44</v>
      </c>
      <c r="C204" s="19">
        <v>3</v>
      </c>
      <c r="D204" s="19" t="s">
        <v>43</v>
      </c>
      <c r="E204" s="20" t="str">
        <f>IFERROR(INDEX(貼り付け場所変換!F:F,MATCH(A204&amp;B204&amp;C204&amp;D204,貼り付け場所変換!H:H,0)),"該当なし")</f>
        <v>該当なし</v>
      </c>
      <c r="F204" s="19" t="str">
        <f>IFERROR(INDEX(貼り付け場所変換!G:G,MATCH(A204&amp;B204&amp;C204&amp;D204,貼り付け場所変換!H:H,0)),"該当なし")</f>
        <v>該当なし</v>
      </c>
    </row>
    <row r="205" spans="1:6">
      <c r="A205" s="19" t="s">
        <v>48</v>
      </c>
      <c r="B205" s="19" t="s">
        <v>44</v>
      </c>
      <c r="C205" s="19">
        <v>4</v>
      </c>
      <c r="D205" s="19" t="s">
        <v>43</v>
      </c>
      <c r="E205" s="20" t="str">
        <f>IFERROR(INDEX(貼り付け場所変換!F:F,MATCH(A205&amp;B205&amp;C205&amp;D205,貼り付け場所変換!H:H,0)),"該当なし")</f>
        <v>該当なし</v>
      </c>
      <c r="F205" s="19" t="str">
        <f>IFERROR(INDEX(貼り付け場所変換!G:G,MATCH(A205&amp;B205&amp;C205&amp;D205,貼り付け場所変換!H:H,0)),"該当なし")</f>
        <v>該当なし</v>
      </c>
    </row>
    <row r="206" spans="1:6">
      <c r="A206" s="19" t="s">
        <v>48</v>
      </c>
      <c r="B206" s="19" t="s">
        <v>44</v>
      </c>
      <c r="C206" s="19">
        <v>5</v>
      </c>
      <c r="D206" s="19" t="s">
        <v>43</v>
      </c>
      <c r="E206" s="20" t="str">
        <f>IFERROR(INDEX(貼り付け場所変換!F:F,MATCH(A206&amp;B206&amp;C206&amp;D206,貼り付け場所変換!H:H,0)),"該当なし")</f>
        <v>該当なし</v>
      </c>
      <c r="F206" s="19" t="str">
        <f>IFERROR(INDEX(貼り付け場所変換!G:G,MATCH(A206&amp;B206&amp;C206&amp;D206,貼り付け場所変換!H:H,0)),"該当なし")</f>
        <v>該当なし</v>
      </c>
    </row>
    <row r="207" spans="1:6">
      <c r="A207" s="19" t="s">
        <v>48</v>
      </c>
      <c r="B207" s="19" t="s">
        <v>44</v>
      </c>
      <c r="C207" s="19">
        <v>6</v>
      </c>
      <c r="D207" s="19" t="s">
        <v>43</v>
      </c>
      <c r="E207" s="20" t="str">
        <f>IFERROR(INDEX(貼り付け場所変換!F:F,MATCH(A207&amp;B207&amp;C207&amp;D207,貼り付け場所変換!H:H,0)),"該当なし")</f>
        <v>該当なし</v>
      </c>
      <c r="F207" s="19" t="str">
        <f>IFERROR(INDEX(貼り付け場所変換!G:G,MATCH(A207&amp;B207&amp;C207&amp;D207,貼り付け場所変換!H:H,0)),"該当なし")</f>
        <v>該当なし</v>
      </c>
    </row>
    <row r="208" spans="1:6">
      <c r="A208" s="19" t="s">
        <v>48</v>
      </c>
      <c r="B208" s="19" t="s">
        <v>44</v>
      </c>
      <c r="C208" s="19">
        <v>7</v>
      </c>
      <c r="D208" s="19" t="s">
        <v>43</v>
      </c>
      <c r="E208" s="20" t="str">
        <f>IFERROR(INDEX(貼り付け場所変換!F:F,MATCH(A208&amp;B208&amp;C208&amp;D208,貼り付け場所変換!H:H,0)),"該当なし")</f>
        <v>該当なし</v>
      </c>
      <c r="F208" s="19" t="str">
        <f>IFERROR(INDEX(貼り付け場所変換!G:G,MATCH(A208&amp;B208&amp;C208&amp;D208,貼り付け場所変換!H:H,0)),"該当なし")</f>
        <v>該当なし</v>
      </c>
    </row>
    <row r="209" spans="1:6">
      <c r="A209" s="19" t="s">
        <v>48</v>
      </c>
      <c r="B209" s="19" t="s">
        <v>44</v>
      </c>
      <c r="C209" s="19">
        <v>8</v>
      </c>
      <c r="D209" s="19" t="s">
        <v>43</v>
      </c>
      <c r="E209" s="20" t="str">
        <f>IFERROR(INDEX(貼り付け場所変換!F:F,MATCH(A209&amp;B209&amp;C209&amp;D209,貼り付け場所変換!H:H,0)),"該当なし")</f>
        <v>該当なし</v>
      </c>
      <c r="F209" s="19" t="str">
        <f>IFERROR(INDEX(貼り付け場所変換!G:G,MATCH(A209&amp;B209&amp;C209&amp;D209,貼り付け場所変換!H:H,0)),"該当なし")</f>
        <v>該当なし</v>
      </c>
    </row>
    <row r="210" spans="1:6">
      <c r="A210" s="19" t="s">
        <v>48</v>
      </c>
      <c r="B210" s="19" t="s">
        <v>44</v>
      </c>
      <c r="C210" s="19">
        <v>9</v>
      </c>
      <c r="D210" s="19" t="s">
        <v>43</v>
      </c>
      <c r="E210" s="20" t="str">
        <f>IFERROR(INDEX(貼り付け場所変換!F:F,MATCH(A210&amp;B210&amp;C210&amp;D210,貼り付け場所変換!H:H,0)),"該当なし")</f>
        <v>該当なし</v>
      </c>
      <c r="F210" s="19" t="str">
        <f>IFERROR(INDEX(貼り付け場所変換!G:G,MATCH(A210&amp;B210&amp;C210&amp;D210,貼り付け場所変換!H:H,0)),"該当なし")</f>
        <v>該当なし</v>
      </c>
    </row>
    <row r="211" spans="1:6">
      <c r="A211" s="19" t="s">
        <v>48</v>
      </c>
      <c r="B211" s="19" t="s">
        <v>44</v>
      </c>
      <c r="C211" s="19">
        <v>10</v>
      </c>
      <c r="D211" s="19" t="s">
        <v>43</v>
      </c>
      <c r="E211" s="20" t="str">
        <f>IFERROR(INDEX(貼り付け場所変換!F:F,MATCH(A211&amp;B211&amp;C211&amp;D211,貼り付け場所変換!H:H,0)),"該当なし")</f>
        <v>該当なし</v>
      </c>
      <c r="F211" s="19" t="str">
        <f>IFERROR(INDEX(貼り付け場所変換!G:G,MATCH(A211&amp;B211&amp;C211&amp;D211,貼り付け場所変換!H:H,0)),"該当なし")</f>
        <v>該当なし</v>
      </c>
    </row>
    <row r="212" spans="1:6">
      <c r="A212" s="19" t="s">
        <v>48</v>
      </c>
      <c r="B212" s="19" t="s">
        <v>45</v>
      </c>
      <c r="C212" s="19">
        <v>1</v>
      </c>
      <c r="D212" s="19" t="s">
        <v>41</v>
      </c>
      <c r="E212" s="20" t="str">
        <f>IFERROR(INDEX(貼り付け場所変換!F:F,MATCH(A212&amp;B212&amp;C212&amp;D212,貼り付け場所変換!H:H,0)),"該当なし")</f>
        <v>該当なし</v>
      </c>
      <c r="F212" s="19" t="str">
        <f>IFERROR(INDEX(貼り付け場所変換!G:G,MATCH(A212&amp;B212&amp;C212&amp;D212,貼り付け場所変換!H:H,0)),"該当なし")</f>
        <v>該当なし</v>
      </c>
    </row>
    <row r="213" spans="1:6">
      <c r="A213" s="19" t="s">
        <v>48</v>
      </c>
      <c r="B213" s="19" t="s">
        <v>45</v>
      </c>
      <c r="C213" s="19">
        <v>2</v>
      </c>
      <c r="D213" s="19" t="s">
        <v>41</v>
      </c>
      <c r="E213" s="20" t="str">
        <f>IFERROR(INDEX(貼り付け場所変換!F:F,MATCH(A213&amp;B213&amp;C213&amp;D213,貼り付け場所変換!H:H,0)),"該当なし")</f>
        <v>該当なし</v>
      </c>
      <c r="F213" s="19" t="str">
        <f>IFERROR(INDEX(貼り付け場所変換!G:G,MATCH(A213&amp;B213&amp;C213&amp;D213,貼り付け場所変換!H:H,0)),"該当なし")</f>
        <v>該当なし</v>
      </c>
    </row>
    <row r="214" spans="1:6">
      <c r="A214" s="19" t="s">
        <v>48</v>
      </c>
      <c r="B214" s="19" t="s">
        <v>45</v>
      </c>
      <c r="C214" s="19">
        <v>3</v>
      </c>
      <c r="D214" s="19" t="s">
        <v>41</v>
      </c>
      <c r="E214" s="20" t="str">
        <f>IFERROR(INDEX(貼り付け場所変換!F:F,MATCH(A214&amp;B214&amp;C214&amp;D214,貼り付け場所変換!H:H,0)),"該当なし")</f>
        <v>該当なし</v>
      </c>
      <c r="F214" s="19" t="str">
        <f>IFERROR(INDEX(貼り付け場所変換!G:G,MATCH(A214&amp;B214&amp;C214&amp;D214,貼り付け場所変換!H:H,0)),"該当なし")</f>
        <v>該当なし</v>
      </c>
    </row>
    <row r="215" spans="1:6">
      <c r="A215" s="19" t="s">
        <v>48</v>
      </c>
      <c r="B215" s="19" t="s">
        <v>45</v>
      </c>
      <c r="C215" s="19">
        <v>4</v>
      </c>
      <c r="D215" s="19" t="s">
        <v>41</v>
      </c>
      <c r="E215" s="20" t="str">
        <f>IFERROR(INDEX(貼り付け場所変換!F:F,MATCH(A215&amp;B215&amp;C215&amp;D215,貼り付け場所変換!H:H,0)),"該当なし")</f>
        <v>該当なし</v>
      </c>
      <c r="F215" s="19" t="str">
        <f>IFERROR(INDEX(貼り付け場所変換!G:G,MATCH(A215&amp;B215&amp;C215&amp;D215,貼り付け場所変換!H:H,0)),"該当なし")</f>
        <v>該当なし</v>
      </c>
    </row>
    <row r="216" spans="1:6">
      <c r="A216" s="19" t="s">
        <v>48</v>
      </c>
      <c r="B216" s="19" t="s">
        <v>45</v>
      </c>
      <c r="C216" s="19">
        <v>5</v>
      </c>
      <c r="D216" s="19" t="s">
        <v>41</v>
      </c>
      <c r="E216" s="20" t="str">
        <f>IFERROR(INDEX(貼り付け場所変換!F:F,MATCH(A216&amp;B216&amp;C216&amp;D216,貼り付け場所変換!H:H,0)),"該当なし")</f>
        <v>該当なし</v>
      </c>
      <c r="F216" s="19" t="str">
        <f>IFERROR(INDEX(貼り付け場所変換!G:G,MATCH(A216&amp;B216&amp;C216&amp;D216,貼り付け場所変換!H:H,0)),"該当なし")</f>
        <v>該当なし</v>
      </c>
    </row>
    <row r="217" spans="1:6">
      <c r="A217" s="19" t="s">
        <v>48</v>
      </c>
      <c r="B217" s="19" t="s">
        <v>45</v>
      </c>
      <c r="C217" s="19">
        <v>6</v>
      </c>
      <c r="D217" s="19" t="s">
        <v>41</v>
      </c>
      <c r="E217" s="20" t="str">
        <f>IFERROR(INDEX(貼り付け場所変換!F:F,MATCH(A217&amp;B217&amp;C217&amp;D217,貼り付け場所変換!H:H,0)),"該当なし")</f>
        <v>該当なし</v>
      </c>
      <c r="F217" s="19" t="str">
        <f>IFERROR(INDEX(貼り付け場所変換!G:G,MATCH(A217&amp;B217&amp;C217&amp;D217,貼り付け場所変換!H:H,0)),"該当なし")</f>
        <v>該当なし</v>
      </c>
    </row>
    <row r="218" spans="1:6">
      <c r="A218" s="19" t="s">
        <v>48</v>
      </c>
      <c r="B218" s="19" t="s">
        <v>45</v>
      </c>
      <c r="C218" s="19">
        <v>7</v>
      </c>
      <c r="D218" s="19" t="s">
        <v>41</v>
      </c>
      <c r="E218" s="20" t="str">
        <f>IFERROR(INDEX(貼り付け場所変換!F:F,MATCH(A218&amp;B218&amp;C218&amp;D218,貼り付け場所変換!H:H,0)),"該当なし")</f>
        <v>該当なし</v>
      </c>
      <c r="F218" s="19" t="str">
        <f>IFERROR(INDEX(貼り付け場所変換!G:G,MATCH(A218&amp;B218&amp;C218&amp;D218,貼り付け場所変換!H:H,0)),"該当なし")</f>
        <v>該当なし</v>
      </c>
    </row>
    <row r="219" spans="1:6">
      <c r="A219" s="19" t="s">
        <v>48</v>
      </c>
      <c r="B219" s="19" t="s">
        <v>45</v>
      </c>
      <c r="C219" s="19">
        <v>8</v>
      </c>
      <c r="D219" s="19" t="s">
        <v>41</v>
      </c>
      <c r="E219" s="20" t="str">
        <f>IFERROR(INDEX(貼り付け場所変換!F:F,MATCH(A219&amp;B219&amp;C219&amp;D219,貼り付け場所変換!H:H,0)),"該当なし")</f>
        <v>該当なし</v>
      </c>
      <c r="F219" s="19" t="str">
        <f>IFERROR(INDEX(貼り付け場所変換!G:G,MATCH(A219&amp;B219&amp;C219&amp;D219,貼り付け場所変換!H:H,0)),"該当なし")</f>
        <v>該当なし</v>
      </c>
    </row>
    <row r="220" spans="1:6">
      <c r="A220" s="19" t="s">
        <v>48</v>
      </c>
      <c r="B220" s="19" t="s">
        <v>45</v>
      </c>
      <c r="C220" s="19">
        <v>9</v>
      </c>
      <c r="D220" s="19" t="s">
        <v>41</v>
      </c>
      <c r="E220" s="20" t="str">
        <f>IFERROR(INDEX(貼り付け場所変換!F:F,MATCH(A220&amp;B220&amp;C220&amp;D220,貼り付け場所変換!H:H,0)),"該当なし")</f>
        <v>該当なし</v>
      </c>
      <c r="F220" s="19" t="str">
        <f>IFERROR(INDEX(貼り付け場所変換!G:G,MATCH(A220&amp;B220&amp;C220&amp;D220,貼り付け場所変換!H:H,0)),"該当なし")</f>
        <v>該当なし</v>
      </c>
    </row>
    <row r="221" spans="1:6">
      <c r="A221" s="19" t="s">
        <v>48</v>
      </c>
      <c r="B221" s="19" t="s">
        <v>45</v>
      </c>
      <c r="C221" s="19">
        <v>10</v>
      </c>
      <c r="D221" s="19" t="s">
        <v>41</v>
      </c>
      <c r="E221" s="20" t="str">
        <f>IFERROR(INDEX(貼り付け場所変換!F:F,MATCH(A221&amp;B221&amp;C221&amp;D221,貼り付け場所変換!H:H,0)),"該当なし")</f>
        <v>該当なし</v>
      </c>
      <c r="F221" s="19" t="str">
        <f>IFERROR(INDEX(貼り付け場所変換!G:G,MATCH(A221&amp;B221&amp;C221&amp;D221,貼り付け場所変換!H:H,0)),"該当なし")</f>
        <v>該当なし</v>
      </c>
    </row>
    <row r="222" spans="1:6">
      <c r="A222" s="19" t="s">
        <v>48</v>
      </c>
      <c r="B222" s="19" t="s">
        <v>45</v>
      </c>
      <c r="C222" s="19">
        <v>1</v>
      </c>
      <c r="D222" s="19" t="s">
        <v>42</v>
      </c>
      <c r="E222" s="20" t="str">
        <f>IFERROR(INDEX(貼り付け場所変換!F:F,MATCH(A222&amp;B222&amp;C222&amp;D222,貼り付け場所変換!H:H,0)),"該当なし")</f>
        <v>該当なし</v>
      </c>
      <c r="F222" s="19" t="str">
        <f>IFERROR(INDEX(貼り付け場所変換!G:G,MATCH(A222&amp;B222&amp;C222&amp;D222,貼り付け場所変換!H:H,0)),"該当なし")</f>
        <v>該当なし</v>
      </c>
    </row>
    <row r="223" spans="1:6">
      <c r="A223" s="19" t="s">
        <v>48</v>
      </c>
      <c r="B223" s="19" t="s">
        <v>45</v>
      </c>
      <c r="C223" s="19">
        <v>2</v>
      </c>
      <c r="D223" s="19" t="s">
        <v>42</v>
      </c>
      <c r="E223" s="20" t="str">
        <f>IFERROR(INDEX(貼り付け場所変換!F:F,MATCH(A223&amp;B223&amp;C223&amp;D223,貼り付け場所変換!H:H,0)),"該当なし")</f>
        <v>該当なし</v>
      </c>
      <c r="F223" s="19" t="str">
        <f>IFERROR(INDEX(貼り付け場所変換!G:G,MATCH(A223&amp;B223&amp;C223&amp;D223,貼り付け場所変換!H:H,0)),"該当なし")</f>
        <v>該当なし</v>
      </c>
    </row>
    <row r="224" spans="1:6">
      <c r="A224" s="19" t="s">
        <v>48</v>
      </c>
      <c r="B224" s="19" t="s">
        <v>45</v>
      </c>
      <c r="C224" s="19">
        <v>3</v>
      </c>
      <c r="D224" s="19" t="s">
        <v>42</v>
      </c>
      <c r="E224" s="20" t="str">
        <f>IFERROR(INDEX(貼り付け場所変換!F:F,MATCH(A224&amp;B224&amp;C224&amp;D224,貼り付け場所変換!H:H,0)),"該当なし")</f>
        <v>該当なし</v>
      </c>
      <c r="F224" s="19" t="str">
        <f>IFERROR(INDEX(貼り付け場所変換!G:G,MATCH(A224&amp;B224&amp;C224&amp;D224,貼り付け場所変換!H:H,0)),"該当なし")</f>
        <v>該当なし</v>
      </c>
    </row>
    <row r="225" spans="1:6">
      <c r="A225" s="19" t="s">
        <v>48</v>
      </c>
      <c r="B225" s="19" t="s">
        <v>45</v>
      </c>
      <c r="C225" s="19">
        <v>4</v>
      </c>
      <c r="D225" s="19" t="s">
        <v>42</v>
      </c>
      <c r="E225" s="20" t="str">
        <f>IFERROR(INDEX(貼り付け場所変換!F:F,MATCH(A225&amp;B225&amp;C225&amp;D225,貼り付け場所変換!H:H,0)),"該当なし")</f>
        <v>該当なし</v>
      </c>
      <c r="F225" s="19" t="str">
        <f>IFERROR(INDEX(貼り付け場所変換!G:G,MATCH(A225&amp;B225&amp;C225&amp;D225,貼り付け場所変換!H:H,0)),"該当なし")</f>
        <v>該当なし</v>
      </c>
    </row>
    <row r="226" spans="1:6">
      <c r="A226" s="19" t="s">
        <v>48</v>
      </c>
      <c r="B226" s="19" t="s">
        <v>45</v>
      </c>
      <c r="C226" s="19">
        <v>5</v>
      </c>
      <c r="D226" s="19" t="s">
        <v>42</v>
      </c>
      <c r="E226" s="20" t="str">
        <f>IFERROR(INDEX(貼り付け場所変換!F:F,MATCH(A226&amp;B226&amp;C226&amp;D226,貼り付け場所変換!H:H,0)),"該当なし")</f>
        <v>該当なし</v>
      </c>
      <c r="F226" s="19" t="str">
        <f>IFERROR(INDEX(貼り付け場所変換!G:G,MATCH(A226&amp;B226&amp;C226&amp;D226,貼り付け場所変換!H:H,0)),"該当なし")</f>
        <v>該当なし</v>
      </c>
    </row>
    <row r="227" spans="1:6">
      <c r="A227" s="19" t="s">
        <v>48</v>
      </c>
      <c r="B227" s="19" t="s">
        <v>45</v>
      </c>
      <c r="C227" s="19">
        <v>6</v>
      </c>
      <c r="D227" s="19" t="s">
        <v>42</v>
      </c>
      <c r="E227" s="20" t="str">
        <f>IFERROR(INDEX(貼り付け場所変換!F:F,MATCH(A227&amp;B227&amp;C227&amp;D227,貼り付け場所変換!H:H,0)),"該当なし")</f>
        <v>該当なし</v>
      </c>
      <c r="F227" s="19" t="str">
        <f>IFERROR(INDEX(貼り付け場所変換!G:G,MATCH(A227&amp;B227&amp;C227&amp;D227,貼り付け場所変換!H:H,0)),"該当なし")</f>
        <v>該当なし</v>
      </c>
    </row>
    <row r="228" spans="1:6">
      <c r="A228" s="19" t="s">
        <v>48</v>
      </c>
      <c r="B228" s="19" t="s">
        <v>45</v>
      </c>
      <c r="C228" s="19">
        <v>7</v>
      </c>
      <c r="D228" s="19" t="s">
        <v>42</v>
      </c>
      <c r="E228" s="20" t="str">
        <f>IFERROR(INDEX(貼り付け場所変換!F:F,MATCH(A228&amp;B228&amp;C228&amp;D228,貼り付け場所変換!H:H,0)),"該当なし")</f>
        <v>該当なし</v>
      </c>
      <c r="F228" s="19" t="str">
        <f>IFERROR(INDEX(貼り付け場所変換!G:G,MATCH(A228&amp;B228&amp;C228&amp;D228,貼り付け場所変換!H:H,0)),"該当なし")</f>
        <v>該当なし</v>
      </c>
    </row>
    <row r="229" spans="1:6">
      <c r="A229" s="19" t="s">
        <v>48</v>
      </c>
      <c r="B229" s="19" t="s">
        <v>45</v>
      </c>
      <c r="C229" s="19">
        <v>8</v>
      </c>
      <c r="D229" s="19" t="s">
        <v>42</v>
      </c>
      <c r="E229" s="20" t="str">
        <f>IFERROR(INDEX(貼り付け場所変換!F:F,MATCH(A229&amp;B229&amp;C229&amp;D229,貼り付け場所変換!H:H,0)),"該当なし")</f>
        <v>該当なし</v>
      </c>
      <c r="F229" s="19" t="str">
        <f>IFERROR(INDEX(貼り付け場所変換!G:G,MATCH(A229&amp;B229&amp;C229&amp;D229,貼り付け場所変換!H:H,0)),"該当なし")</f>
        <v>該当なし</v>
      </c>
    </row>
    <row r="230" spans="1:6">
      <c r="A230" s="19" t="s">
        <v>48</v>
      </c>
      <c r="B230" s="19" t="s">
        <v>45</v>
      </c>
      <c r="C230" s="19">
        <v>9</v>
      </c>
      <c r="D230" s="19" t="s">
        <v>42</v>
      </c>
      <c r="E230" s="20" t="str">
        <f>IFERROR(INDEX(貼り付け場所変換!F:F,MATCH(A230&amp;B230&amp;C230&amp;D230,貼り付け場所変換!H:H,0)),"該当なし")</f>
        <v>該当なし</v>
      </c>
      <c r="F230" s="19" t="str">
        <f>IFERROR(INDEX(貼り付け場所変換!G:G,MATCH(A230&amp;B230&amp;C230&amp;D230,貼り付け場所変換!H:H,0)),"該当なし")</f>
        <v>該当なし</v>
      </c>
    </row>
    <row r="231" spans="1:6">
      <c r="A231" s="19" t="s">
        <v>48</v>
      </c>
      <c r="B231" s="19" t="s">
        <v>45</v>
      </c>
      <c r="C231" s="19">
        <v>10</v>
      </c>
      <c r="D231" s="19" t="s">
        <v>42</v>
      </c>
      <c r="E231" s="20" t="str">
        <f>IFERROR(INDEX(貼り付け場所変換!F:F,MATCH(A231&amp;B231&amp;C231&amp;D231,貼り付け場所変換!H:H,0)),"該当なし")</f>
        <v>該当なし</v>
      </c>
      <c r="F231" s="19" t="str">
        <f>IFERROR(INDEX(貼り付け場所変換!G:G,MATCH(A231&amp;B231&amp;C231&amp;D231,貼り付け場所変換!H:H,0)),"該当なし")</f>
        <v>該当なし</v>
      </c>
    </row>
    <row r="232" spans="1:6">
      <c r="A232" s="19" t="s">
        <v>48</v>
      </c>
      <c r="B232" s="19" t="s">
        <v>45</v>
      </c>
      <c r="C232" s="19">
        <v>1</v>
      </c>
      <c r="D232" s="19" t="s">
        <v>43</v>
      </c>
      <c r="E232" s="20" t="str">
        <f>IFERROR(INDEX(貼り付け場所変換!F:F,MATCH(A232&amp;B232&amp;C232&amp;D232,貼り付け場所変換!H:H,0)),"該当なし")</f>
        <v>該当なし</v>
      </c>
      <c r="F232" s="19" t="str">
        <f>IFERROR(INDEX(貼り付け場所変換!G:G,MATCH(A232&amp;B232&amp;C232&amp;D232,貼り付け場所変換!H:H,0)),"該当なし")</f>
        <v>該当なし</v>
      </c>
    </row>
    <row r="233" spans="1:6">
      <c r="A233" s="19" t="s">
        <v>48</v>
      </c>
      <c r="B233" s="19" t="s">
        <v>45</v>
      </c>
      <c r="C233" s="19">
        <v>2</v>
      </c>
      <c r="D233" s="19" t="s">
        <v>43</v>
      </c>
      <c r="E233" s="20" t="str">
        <f>IFERROR(INDEX(貼り付け場所変換!F:F,MATCH(A233&amp;B233&amp;C233&amp;D233,貼り付け場所変換!H:H,0)),"該当なし")</f>
        <v>該当なし</v>
      </c>
      <c r="F233" s="19" t="str">
        <f>IFERROR(INDEX(貼り付け場所変換!G:G,MATCH(A233&amp;B233&amp;C233&amp;D233,貼り付け場所変換!H:H,0)),"該当なし")</f>
        <v>該当なし</v>
      </c>
    </row>
    <row r="234" spans="1:6">
      <c r="A234" s="19" t="s">
        <v>48</v>
      </c>
      <c r="B234" s="19" t="s">
        <v>45</v>
      </c>
      <c r="C234" s="19">
        <v>3</v>
      </c>
      <c r="D234" s="19" t="s">
        <v>43</v>
      </c>
      <c r="E234" s="20" t="str">
        <f>IFERROR(INDEX(貼り付け場所変換!F:F,MATCH(A234&amp;B234&amp;C234&amp;D234,貼り付け場所変換!H:H,0)),"該当なし")</f>
        <v>該当なし</v>
      </c>
      <c r="F234" s="19" t="str">
        <f>IFERROR(INDEX(貼り付け場所変換!G:G,MATCH(A234&amp;B234&amp;C234&amp;D234,貼り付け場所変換!H:H,0)),"該当なし")</f>
        <v>該当なし</v>
      </c>
    </row>
    <row r="235" spans="1:6">
      <c r="A235" s="19" t="s">
        <v>48</v>
      </c>
      <c r="B235" s="19" t="s">
        <v>45</v>
      </c>
      <c r="C235" s="19">
        <v>4</v>
      </c>
      <c r="D235" s="19" t="s">
        <v>43</v>
      </c>
      <c r="E235" s="20" t="str">
        <f>IFERROR(INDEX(貼り付け場所変換!F:F,MATCH(A235&amp;B235&amp;C235&amp;D235,貼り付け場所変換!H:H,0)),"該当なし")</f>
        <v>該当なし</v>
      </c>
      <c r="F235" s="19" t="str">
        <f>IFERROR(INDEX(貼り付け場所変換!G:G,MATCH(A235&amp;B235&amp;C235&amp;D235,貼り付け場所変換!H:H,0)),"該当なし")</f>
        <v>該当なし</v>
      </c>
    </row>
    <row r="236" spans="1:6">
      <c r="A236" s="19" t="s">
        <v>48</v>
      </c>
      <c r="B236" s="19" t="s">
        <v>45</v>
      </c>
      <c r="C236" s="19">
        <v>5</v>
      </c>
      <c r="D236" s="19" t="s">
        <v>43</v>
      </c>
      <c r="E236" s="20" t="str">
        <f>IFERROR(INDEX(貼り付け場所変換!F:F,MATCH(A236&amp;B236&amp;C236&amp;D236,貼り付け場所変換!H:H,0)),"該当なし")</f>
        <v>該当なし</v>
      </c>
      <c r="F236" s="19" t="str">
        <f>IFERROR(INDEX(貼り付け場所変換!G:G,MATCH(A236&amp;B236&amp;C236&amp;D236,貼り付け場所変換!H:H,0)),"該当なし")</f>
        <v>該当なし</v>
      </c>
    </row>
    <row r="237" spans="1:6">
      <c r="A237" s="19" t="s">
        <v>48</v>
      </c>
      <c r="B237" s="19" t="s">
        <v>45</v>
      </c>
      <c r="C237" s="19">
        <v>6</v>
      </c>
      <c r="D237" s="19" t="s">
        <v>43</v>
      </c>
      <c r="E237" s="20" t="str">
        <f>IFERROR(INDEX(貼り付け場所変換!F:F,MATCH(A237&amp;B237&amp;C237&amp;D237,貼り付け場所変換!H:H,0)),"該当なし")</f>
        <v>該当なし</v>
      </c>
      <c r="F237" s="19" t="str">
        <f>IFERROR(INDEX(貼り付け場所変換!G:G,MATCH(A237&amp;B237&amp;C237&amp;D237,貼り付け場所変換!H:H,0)),"該当なし")</f>
        <v>該当なし</v>
      </c>
    </row>
    <row r="238" spans="1:6">
      <c r="A238" s="19" t="s">
        <v>48</v>
      </c>
      <c r="B238" s="19" t="s">
        <v>45</v>
      </c>
      <c r="C238" s="19">
        <v>7</v>
      </c>
      <c r="D238" s="19" t="s">
        <v>43</v>
      </c>
      <c r="E238" s="20" t="str">
        <f>IFERROR(INDEX(貼り付け場所変換!F:F,MATCH(A238&amp;B238&amp;C238&amp;D238,貼り付け場所変換!H:H,0)),"該当なし")</f>
        <v>該当なし</v>
      </c>
      <c r="F238" s="19" t="str">
        <f>IFERROR(INDEX(貼り付け場所変換!G:G,MATCH(A238&amp;B238&amp;C238&amp;D238,貼り付け場所変換!H:H,0)),"該当なし")</f>
        <v>該当なし</v>
      </c>
    </row>
    <row r="239" spans="1:6">
      <c r="A239" s="19" t="s">
        <v>48</v>
      </c>
      <c r="B239" s="19" t="s">
        <v>45</v>
      </c>
      <c r="C239" s="19">
        <v>8</v>
      </c>
      <c r="D239" s="19" t="s">
        <v>43</v>
      </c>
      <c r="E239" s="20" t="str">
        <f>IFERROR(INDEX(貼り付け場所変換!F:F,MATCH(A239&amp;B239&amp;C239&amp;D239,貼り付け場所変換!H:H,0)),"該当なし")</f>
        <v>該当なし</v>
      </c>
      <c r="F239" s="19" t="str">
        <f>IFERROR(INDEX(貼り付け場所変換!G:G,MATCH(A239&amp;B239&amp;C239&amp;D239,貼り付け場所変換!H:H,0)),"該当なし")</f>
        <v>該当なし</v>
      </c>
    </row>
    <row r="240" spans="1:6">
      <c r="A240" s="19" t="s">
        <v>48</v>
      </c>
      <c r="B240" s="19" t="s">
        <v>45</v>
      </c>
      <c r="C240" s="19">
        <v>9</v>
      </c>
      <c r="D240" s="19" t="s">
        <v>43</v>
      </c>
      <c r="E240" s="20" t="str">
        <f>IFERROR(INDEX(貼り付け場所変換!F:F,MATCH(A240&amp;B240&amp;C240&amp;D240,貼り付け場所変換!H:H,0)),"該当なし")</f>
        <v>該当なし</v>
      </c>
      <c r="F240" s="19" t="str">
        <f>IFERROR(INDEX(貼り付け場所変換!G:G,MATCH(A240&amp;B240&amp;C240&amp;D240,貼り付け場所変換!H:H,0)),"該当なし")</f>
        <v>該当なし</v>
      </c>
    </row>
    <row r="241" spans="1:6">
      <c r="A241" s="19" t="s">
        <v>48</v>
      </c>
      <c r="B241" s="19" t="s">
        <v>45</v>
      </c>
      <c r="C241" s="19">
        <v>10</v>
      </c>
      <c r="D241" s="19" t="s">
        <v>43</v>
      </c>
      <c r="E241" s="20" t="str">
        <f>IFERROR(INDEX(貼り付け場所変換!F:F,MATCH(A241&amp;B241&amp;C241&amp;D241,貼り付け場所変換!H:H,0)),"該当なし")</f>
        <v>該当なし</v>
      </c>
      <c r="F241" s="19" t="str">
        <f>IFERROR(INDEX(貼り付け場所変換!G:G,MATCH(A241&amp;B241&amp;C241&amp;D241,貼り付け場所変換!H:H,0)),"該当なし")</f>
        <v>該当なし</v>
      </c>
    </row>
    <row r="242" spans="1:6">
      <c r="A242" s="19" t="s">
        <v>48</v>
      </c>
      <c r="B242" s="19" t="s">
        <v>46</v>
      </c>
      <c r="C242" s="19">
        <v>1</v>
      </c>
      <c r="D242" s="19" t="s">
        <v>41</v>
      </c>
      <c r="E242" s="20" t="str">
        <f>IFERROR(INDEX(貼り付け場所変換!F:F,MATCH(A242&amp;B242&amp;C242&amp;D242,貼り付け場所変換!H:H,0)),"該当なし")</f>
        <v>該当なし</v>
      </c>
      <c r="F242" s="19" t="str">
        <f>IFERROR(INDEX(貼り付け場所変換!G:G,MATCH(A242&amp;B242&amp;C242&amp;D242,貼り付け場所変換!H:H,0)),"該当なし")</f>
        <v>該当なし</v>
      </c>
    </row>
    <row r="243" spans="1:6">
      <c r="A243" s="19" t="s">
        <v>48</v>
      </c>
      <c r="B243" s="19" t="s">
        <v>46</v>
      </c>
      <c r="C243" s="19">
        <v>2</v>
      </c>
      <c r="D243" s="19" t="s">
        <v>41</v>
      </c>
      <c r="E243" s="20" t="str">
        <f>IFERROR(INDEX(貼り付け場所変換!F:F,MATCH(A243&amp;B243&amp;C243&amp;D243,貼り付け場所変換!H:H,0)),"該当なし")</f>
        <v>該当なし</v>
      </c>
      <c r="F243" s="19" t="str">
        <f>IFERROR(INDEX(貼り付け場所変換!G:G,MATCH(A243&amp;B243&amp;C243&amp;D243,貼り付け場所変換!H:H,0)),"該当なし")</f>
        <v>該当なし</v>
      </c>
    </row>
    <row r="244" spans="1:6">
      <c r="A244" s="19" t="s">
        <v>48</v>
      </c>
      <c r="B244" s="19" t="s">
        <v>46</v>
      </c>
      <c r="C244" s="19">
        <v>3</v>
      </c>
      <c r="D244" s="19" t="s">
        <v>41</v>
      </c>
      <c r="E244" s="20" t="str">
        <f>IFERROR(INDEX(貼り付け場所変換!F:F,MATCH(A244&amp;B244&amp;C244&amp;D244,貼り付け場所変換!H:H,0)),"該当なし")</f>
        <v>該当なし</v>
      </c>
      <c r="F244" s="19" t="str">
        <f>IFERROR(INDEX(貼り付け場所変換!G:G,MATCH(A244&amp;B244&amp;C244&amp;D244,貼り付け場所変換!H:H,0)),"該当なし")</f>
        <v>該当なし</v>
      </c>
    </row>
    <row r="245" spans="1:6">
      <c r="A245" s="19" t="s">
        <v>48</v>
      </c>
      <c r="B245" s="19" t="s">
        <v>46</v>
      </c>
      <c r="C245" s="19">
        <v>4</v>
      </c>
      <c r="D245" s="19" t="s">
        <v>41</v>
      </c>
      <c r="E245" s="20" t="str">
        <f>IFERROR(INDEX(貼り付け場所変換!F:F,MATCH(A245&amp;B245&amp;C245&amp;D245,貼り付け場所変換!H:H,0)),"該当なし")</f>
        <v>該当なし</v>
      </c>
      <c r="F245" s="19" t="str">
        <f>IFERROR(INDEX(貼り付け場所変換!G:G,MATCH(A245&amp;B245&amp;C245&amp;D245,貼り付け場所変換!H:H,0)),"該当なし")</f>
        <v>該当なし</v>
      </c>
    </row>
    <row r="246" spans="1:6">
      <c r="A246" s="19" t="s">
        <v>48</v>
      </c>
      <c r="B246" s="19" t="s">
        <v>46</v>
      </c>
      <c r="C246" s="19">
        <v>5</v>
      </c>
      <c r="D246" s="19" t="s">
        <v>41</v>
      </c>
      <c r="E246" s="20" t="str">
        <f>IFERROR(INDEX(貼り付け場所変換!F:F,MATCH(A246&amp;B246&amp;C246&amp;D246,貼り付け場所変換!H:H,0)),"該当なし")</f>
        <v>該当なし</v>
      </c>
      <c r="F246" s="19" t="str">
        <f>IFERROR(INDEX(貼り付け場所変換!G:G,MATCH(A246&amp;B246&amp;C246&amp;D246,貼り付け場所変換!H:H,0)),"該当なし")</f>
        <v>該当なし</v>
      </c>
    </row>
    <row r="247" spans="1:6">
      <c r="A247" s="19" t="s">
        <v>48</v>
      </c>
      <c r="B247" s="19" t="s">
        <v>46</v>
      </c>
      <c r="C247" s="19">
        <v>6</v>
      </c>
      <c r="D247" s="19" t="s">
        <v>41</v>
      </c>
      <c r="E247" s="20" t="str">
        <f>IFERROR(INDEX(貼り付け場所変換!F:F,MATCH(A247&amp;B247&amp;C247&amp;D247,貼り付け場所変換!H:H,0)),"該当なし")</f>
        <v>該当なし</v>
      </c>
      <c r="F247" s="19" t="str">
        <f>IFERROR(INDEX(貼り付け場所変換!G:G,MATCH(A247&amp;B247&amp;C247&amp;D247,貼り付け場所変換!H:H,0)),"該当なし")</f>
        <v>該当なし</v>
      </c>
    </row>
    <row r="248" spans="1:6">
      <c r="A248" s="19" t="s">
        <v>48</v>
      </c>
      <c r="B248" s="19" t="s">
        <v>46</v>
      </c>
      <c r="C248" s="19">
        <v>7</v>
      </c>
      <c r="D248" s="19" t="s">
        <v>41</v>
      </c>
      <c r="E248" s="20" t="str">
        <f>IFERROR(INDEX(貼り付け場所変換!F:F,MATCH(A248&amp;B248&amp;C248&amp;D248,貼り付け場所変換!H:H,0)),"該当なし")</f>
        <v>該当なし</v>
      </c>
      <c r="F248" s="19" t="str">
        <f>IFERROR(INDEX(貼り付け場所変換!G:G,MATCH(A248&amp;B248&amp;C248&amp;D248,貼り付け場所変換!H:H,0)),"該当なし")</f>
        <v>該当なし</v>
      </c>
    </row>
    <row r="249" spans="1:6">
      <c r="A249" s="19" t="s">
        <v>48</v>
      </c>
      <c r="B249" s="19" t="s">
        <v>46</v>
      </c>
      <c r="C249" s="19">
        <v>8</v>
      </c>
      <c r="D249" s="19" t="s">
        <v>41</v>
      </c>
      <c r="E249" s="20" t="str">
        <f>IFERROR(INDEX(貼り付け場所変換!F:F,MATCH(A249&amp;B249&amp;C249&amp;D249,貼り付け場所変換!H:H,0)),"該当なし")</f>
        <v>該当なし</v>
      </c>
      <c r="F249" s="19" t="str">
        <f>IFERROR(INDEX(貼り付け場所変換!G:G,MATCH(A249&amp;B249&amp;C249&amp;D249,貼り付け場所変換!H:H,0)),"該当なし")</f>
        <v>該当なし</v>
      </c>
    </row>
    <row r="250" spans="1:6">
      <c r="A250" s="19" t="s">
        <v>48</v>
      </c>
      <c r="B250" s="19" t="s">
        <v>46</v>
      </c>
      <c r="C250" s="19">
        <v>9</v>
      </c>
      <c r="D250" s="19" t="s">
        <v>41</v>
      </c>
      <c r="E250" s="20" t="str">
        <f>IFERROR(INDEX(貼り付け場所変換!F:F,MATCH(A250&amp;B250&amp;C250&amp;D250,貼り付け場所変換!H:H,0)),"該当なし")</f>
        <v>該当なし</v>
      </c>
      <c r="F250" s="19" t="str">
        <f>IFERROR(INDEX(貼り付け場所変換!G:G,MATCH(A250&amp;B250&amp;C250&amp;D250,貼り付け場所変換!H:H,0)),"該当なし")</f>
        <v>該当なし</v>
      </c>
    </row>
    <row r="251" spans="1:6">
      <c r="A251" s="19" t="s">
        <v>48</v>
      </c>
      <c r="B251" s="19" t="s">
        <v>46</v>
      </c>
      <c r="C251" s="19">
        <v>10</v>
      </c>
      <c r="D251" s="19" t="s">
        <v>41</v>
      </c>
      <c r="E251" s="20" t="str">
        <f>IFERROR(INDEX(貼り付け場所変換!F:F,MATCH(A251&amp;B251&amp;C251&amp;D251,貼り付け場所変換!H:H,0)),"該当なし")</f>
        <v>該当なし</v>
      </c>
      <c r="F251" s="19" t="str">
        <f>IFERROR(INDEX(貼り付け場所変換!G:G,MATCH(A251&amp;B251&amp;C251&amp;D251,貼り付け場所変換!H:H,0)),"該当なし")</f>
        <v>該当なし</v>
      </c>
    </row>
    <row r="252" spans="1:6">
      <c r="A252" s="19" t="s">
        <v>48</v>
      </c>
      <c r="B252" s="19" t="s">
        <v>46</v>
      </c>
      <c r="C252" s="19">
        <v>1</v>
      </c>
      <c r="D252" s="19" t="s">
        <v>42</v>
      </c>
      <c r="E252" s="20" t="str">
        <f>IFERROR(INDEX(貼り付け場所変換!F:F,MATCH(A252&amp;B252&amp;C252&amp;D252,貼り付け場所変換!H:H,0)),"該当なし")</f>
        <v>該当なし</v>
      </c>
      <c r="F252" s="19" t="str">
        <f>IFERROR(INDEX(貼り付け場所変換!G:G,MATCH(A252&amp;B252&amp;C252&amp;D252,貼り付け場所変換!H:H,0)),"該当なし")</f>
        <v>該当なし</v>
      </c>
    </row>
    <row r="253" spans="1:6">
      <c r="A253" s="19" t="s">
        <v>48</v>
      </c>
      <c r="B253" s="19" t="s">
        <v>46</v>
      </c>
      <c r="C253" s="19">
        <v>2</v>
      </c>
      <c r="D253" s="19" t="s">
        <v>42</v>
      </c>
      <c r="E253" s="20" t="str">
        <f>IFERROR(INDEX(貼り付け場所変換!F:F,MATCH(A253&amp;B253&amp;C253&amp;D253,貼り付け場所変換!H:H,0)),"該当なし")</f>
        <v>該当なし</v>
      </c>
      <c r="F253" s="19" t="str">
        <f>IFERROR(INDEX(貼り付け場所変換!G:G,MATCH(A253&amp;B253&amp;C253&amp;D253,貼り付け場所変換!H:H,0)),"該当なし")</f>
        <v>該当なし</v>
      </c>
    </row>
    <row r="254" spans="1:6">
      <c r="A254" s="19" t="s">
        <v>48</v>
      </c>
      <c r="B254" s="19" t="s">
        <v>46</v>
      </c>
      <c r="C254" s="19">
        <v>3</v>
      </c>
      <c r="D254" s="19" t="s">
        <v>42</v>
      </c>
      <c r="E254" s="20" t="str">
        <f>IFERROR(INDEX(貼り付け場所変換!F:F,MATCH(A254&amp;B254&amp;C254&amp;D254,貼り付け場所変換!H:H,0)),"該当なし")</f>
        <v>該当なし</v>
      </c>
      <c r="F254" s="19" t="str">
        <f>IFERROR(INDEX(貼り付け場所変換!G:G,MATCH(A254&amp;B254&amp;C254&amp;D254,貼り付け場所変換!H:H,0)),"該当なし")</f>
        <v>該当なし</v>
      </c>
    </row>
    <row r="255" spans="1:6">
      <c r="A255" s="19" t="s">
        <v>48</v>
      </c>
      <c r="B255" s="19" t="s">
        <v>46</v>
      </c>
      <c r="C255" s="19">
        <v>4</v>
      </c>
      <c r="D255" s="19" t="s">
        <v>42</v>
      </c>
      <c r="E255" s="20" t="str">
        <f>IFERROR(INDEX(貼り付け場所変換!F:F,MATCH(A255&amp;B255&amp;C255&amp;D255,貼り付け場所変換!H:H,0)),"該当なし")</f>
        <v>該当なし</v>
      </c>
      <c r="F255" s="19" t="str">
        <f>IFERROR(INDEX(貼り付け場所変換!G:G,MATCH(A255&amp;B255&amp;C255&amp;D255,貼り付け場所変換!H:H,0)),"該当なし")</f>
        <v>該当なし</v>
      </c>
    </row>
    <row r="256" spans="1:6">
      <c r="A256" s="19" t="s">
        <v>48</v>
      </c>
      <c r="B256" s="19" t="s">
        <v>46</v>
      </c>
      <c r="C256" s="19">
        <v>5</v>
      </c>
      <c r="D256" s="19" t="s">
        <v>42</v>
      </c>
      <c r="E256" s="20" t="str">
        <f>IFERROR(INDEX(貼り付け場所変換!F:F,MATCH(A256&amp;B256&amp;C256&amp;D256,貼り付け場所変換!H:H,0)),"該当なし")</f>
        <v>該当なし</v>
      </c>
      <c r="F256" s="19" t="str">
        <f>IFERROR(INDEX(貼り付け場所変換!G:G,MATCH(A256&amp;B256&amp;C256&amp;D256,貼り付け場所変換!H:H,0)),"該当なし")</f>
        <v>該当なし</v>
      </c>
    </row>
    <row r="257" spans="1:6">
      <c r="A257" s="19" t="s">
        <v>48</v>
      </c>
      <c r="B257" s="19" t="s">
        <v>46</v>
      </c>
      <c r="C257" s="19">
        <v>6</v>
      </c>
      <c r="D257" s="19" t="s">
        <v>42</v>
      </c>
      <c r="E257" s="20" t="str">
        <f>IFERROR(INDEX(貼り付け場所変換!F:F,MATCH(A257&amp;B257&amp;C257&amp;D257,貼り付け場所変換!H:H,0)),"該当なし")</f>
        <v>該当なし</v>
      </c>
      <c r="F257" s="19" t="str">
        <f>IFERROR(INDEX(貼り付け場所変換!G:G,MATCH(A257&amp;B257&amp;C257&amp;D257,貼り付け場所変換!H:H,0)),"該当なし")</f>
        <v>該当なし</v>
      </c>
    </row>
    <row r="258" spans="1:6">
      <c r="A258" s="19" t="s">
        <v>48</v>
      </c>
      <c r="B258" s="19" t="s">
        <v>46</v>
      </c>
      <c r="C258" s="19">
        <v>7</v>
      </c>
      <c r="D258" s="19" t="s">
        <v>42</v>
      </c>
      <c r="E258" s="20" t="str">
        <f>IFERROR(INDEX(貼り付け場所変換!F:F,MATCH(A258&amp;B258&amp;C258&amp;D258,貼り付け場所変換!H:H,0)),"該当なし")</f>
        <v>該当なし</v>
      </c>
      <c r="F258" s="19" t="str">
        <f>IFERROR(INDEX(貼り付け場所変換!G:G,MATCH(A258&amp;B258&amp;C258&amp;D258,貼り付け場所変換!H:H,0)),"該当なし")</f>
        <v>該当なし</v>
      </c>
    </row>
    <row r="259" spans="1:6">
      <c r="A259" s="19" t="s">
        <v>48</v>
      </c>
      <c r="B259" s="19" t="s">
        <v>46</v>
      </c>
      <c r="C259" s="19">
        <v>8</v>
      </c>
      <c r="D259" s="19" t="s">
        <v>42</v>
      </c>
      <c r="E259" s="20" t="str">
        <f>IFERROR(INDEX(貼り付け場所変換!F:F,MATCH(A259&amp;B259&amp;C259&amp;D259,貼り付け場所変換!H:H,0)),"該当なし")</f>
        <v>該当なし</v>
      </c>
      <c r="F259" s="19" t="str">
        <f>IFERROR(INDEX(貼り付け場所変換!G:G,MATCH(A259&amp;B259&amp;C259&amp;D259,貼り付け場所変換!H:H,0)),"該当なし")</f>
        <v>該当なし</v>
      </c>
    </row>
    <row r="260" spans="1:6">
      <c r="A260" s="19" t="s">
        <v>48</v>
      </c>
      <c r="B260" s="19" t="s">
        <v>46</v>
      </c>
      <c r="C260" s="19">
        <v>9</v>
      </c>
      <c r="D260" s="19" t="s">
        <v>42</v>
      </c>
      <c r="E260" s="20" t="str">
        <f>IFERROR(INDEX(貼り付け場所変換!F:F,MATCH(A260&amp;B260&amp;C260&amp;D260,貼り付け場所変換!H:H,0)),"該当なし")</f>
        <v>該当なし</v>
      </c>
      <c r="F260" s="19" t="str">
        <f>IFERROR(INDEX(貼り付け場所変換!G:G,MATCH(A260&amp;B260&amp;C260&amp;D260,貼り付け場所変換!H:H,0)),"該当なし")</f>
        <v>該当なし</v>
      </c>
    </row>
    <row r="261" spans="1:6">
      <c r="A261" s="19" t="s">
        <v>48</v>
      </c>
      <c r="B261" s="19" t="s">
        <v>46</v>
      </c>
      <c r="C261" s="19">
        <v>10</v>
      </c>
      <c r="D261" s="19" t="s">
        <v>42</v>
      </c>
      <c r="E261" s="20" t="str">
        <f>IFERROR(INDEX(貼り付け場所変換!F:F,MATCH(A261&amp;B261&amp;C261&amp;D261,貼り付け場所変換!H:H,0)),"該当なし")</f>
        <v>該当なし</v>
      </c>
      <c r="F261" s="19" t="str">
        <f>IFERROR(INDEX(貼り付け場所変換!G:G,MATCH(A261&amp;B261&amp;C261&amp;D261,貼り付け場所変換!H:H,0)),"該当なし")</f>
        <v>該当なし</v>
      </c>
    </row>
    <row r="262" spans="1:6">
      <c r="A262" s="19" t="s">
        <v>48</v>
      </c>
      <c r="B262" s="19" t="s">
        <v>46</v>
      </c>
      <c r="C262" s="19">
        <v>1</v>
      </c>
      <c r="D262" s="19" t="s">
        <v>43</v>
      </c>
      <c r="E262" s="20" t="str">
        <f>IFERROR(INDEX(貼り付け場所変換!F:F,MATCH(A262&amp;B262&amp;C262&amp;D262,貼り付け場所変換!H:H,0)),"該当なし")</f>
        <v>該当なし</v>
      </c>
      <c r="F262" s="19" t="str">
        <f>IFERROR(INDEX(貼り付け場所変換!G:G,MATCH(A262&amp;B262&amp;C262&amp;D262,貼り付け場所変換!H:H,0)),"該当なし")</f>
        <v>該当なし</v>
      </c>
    </row>
    <row r="263" spans="1:6">
      <c r="A263" s="19" t="s">
        <v>48</v>
      </c>
      <c r="B263" s="19" t="s">
        <v>46</v>
      </c>
      <c r="C263" s="19">
        <v>2</v>
      </c>
      <c r="D263" s="19" t="s">
        <v>43</v>
      </c>
      <c r="E263" s="20" t="str">
        <f>IFERROR(INDEX(貼り付け場所変換!F:F,MATCH(A263&amp;B263&amp;C263&amp;D263,貼り付け場所変換!H:H,0)),"該当なし")</f>
        <v>該当なし</v>
      </c>
      <c r="F263" s="19" t="str">
        <f>IFERROR(INDEX(貼り付け場所変換!G:G,MATCH(A263&amp;B263&amp;C263&amp;D263,貼り付け場所変換!H:H,0)),"該当なし")</f>
        <v>該当なし</v>
      </c>
    </row>
    <row r="264" spans="1:6">
      <c r="A264" s="19" t="s">
        <v>48</v>
      </c>
      <c r="B264" s="19" t="s">
        <v>46</v>
      </c>
      <c r="C264" s="19">
        <v>3</v>
      </c>
      <c r="D264" s="19" t="s">
        <v>43</v>
      </c>
      <c r="E264" s="20" t="str">
        <f>IFERROR(INDEX(貼り付け場所変換!F:F,MATCH(A264&amp;B264&amp;C264&amp;D264,貼り付け場所変換!H:H,0)),"該当なし")</f>
        <v>該当なし</v>
      </c>
      <c r="F264" s="19" t="str">
        <f>IFERROR(INDEX(貼り付け場所変換!G:G,MATCH(A264&amp;B264&amp;C264&amp;D264,貼り付け場所変換!H:H,0)),"該当なし")</f>
        <v>該当なし</v>
      </c>
    </row>
    <row r="265" spans="1:6">
      <c r="A265" s="19" t="s">
        <v>48</v>
      </c>
      <c r="B265" s="19" t="s">
        <v>46</v>
      </c>
      <c r="C265" s="19">
        <v>4</v>
      </c>
      <c r="D265" s="19" t="s">
        <v>43</v>
      </c>
      <c r="E265" s="20" t="str">
        <f>IFERROR(INDEX(貼り付け場所変換!F:F,MATCH(A265&amp;B265&amp;C265&amp;D265,貼り付け場所変換!H:H,0)),"該当なし")</f>
        <v>該当なし</v>
      </c>
      <c r="F265" s="19" t="str">
        <f>IFERROR(INDEX(貼り付け場所変換!G:G,MATCH(A265&amp;B265&amp;C265&amp;D265,貼り付け場所変換!H:H,0)),"該当なし")</f>
        <v>該当なし</v>
      </c>
    </row>
    <row r="266" spans="1:6">
      <c r="A266" s="19" t="s">
        <v>48</v>
      </c>
      <c r="B266" s="19" t="s">
        <v>46</v>
      </c>
      <c r="C266" s="19">
        <v>5</v>
      </c>
      <c r="D266" s="19" t="s">
        <v>43</v>
      </c>
      <c r="E266" s="20" t="str">
        <f>IFERROR(INDEX(貼り付け場所変換!F:F,MATCH(A266&amp;B266&amp;C266&amp;D266,貼り付け場所変換!H:H,0)),"該当なし")</f>
        <v>該当なし</v>
      </c>
      <c r="F266" s="19" t="str">
        <f>IFERROR(INDEX(貼り付け場所変換!G:G,MATCH(A266&amp;B266&amp;C266&amp;D266,貼り付け場所変換!H:H,0)),"該当なし")</f>
        <v>該当なし</v>
      </c>
    </row>
    <row r="267" spans="1:6">
      <c r="A267" s="19" t="s">
        <v>48</v>
      </c>
      <c r="B267" s="19" t="s">
        <v>46</v>
      </c>
      <c r="C267" s="19">
        <v>6</v>
      </c>
      <c r="D267" s="19" t="s">
        <v>43</v>
      </c>
      <c r="E267" s="20" t="str">
        <f>IFERROR(INDEX(貼り付け場所変換!F:F,MATCH(A267&amp;B267&amp;C267&amp;D267,貼り付け場所変換!H:H,0)),"該当なし")</f>
        <v>該当なし</v>
      </c>
      <c r="F267" s="19" t="str">
        <f>IFERROR(INDEX(貼り付け場所変換!G:G,MATCH(A267&amp;B267&amp;C267&amp;D267,貼り付け場所変換!H:H,0)),"該当なし")</f>
        <v>該当なし</v>
      </c>
    </row>
    <row r="268" spans="1:6">
      <c r="A268" s="19" t="s">
        <v>48</v>
      </c>
      <c r="B268" s="19" t="s">
        <v>46</v>
      </c>
      <c r="C268" s="19">
        <v>7</v>
      </c>
      <c r="D268" s="19" t="s">
        <v>43</v>
      </c>
      <c r="E268" s="20" t="str">
        <f>IFERROR(INDEX(貼り付け場所変換!F:F,MATCH(A268&amp;B268&amp;C268&amp;D268,貼り付け場所変換!H:H,0)),"該当なし")</f>
        <v>該当なし</v>
      </c>
      <c r="F268" s="19" t="str">
        <f>IFERROR(INDEX(貼り付け場所変換!G:G,MATCH(A268&amp;B268&amp;C268&amp;D268,貼り付け場所変換!H:H,0)),"該当なし")</f>
        <v>該当なし</v>
      </c>
    </row>
    <row r="269" spans="1:6">
      <c r="A269" s="19" t="s">
        <v>48</v>
      </c>
      <c r="B269" s="19" t="s">
        <v>46</v>
      </c>
      <c r="C269" s="19">
        <v>8</v>
      </c>
      <c r="D269" s="19" t="s">
        <v>43</v>
      </c>
      <c r="E269" s="20" t="str">
        <f>IFERROR(INDEX(貼り付け場所変換!F:F,MATCH(A269&amp;B269&amp;C269&amp;D269,貼り付け場所変換!H:H,0)),"該当なし")</f>
        <v>該当なし</v>
      </c>
      <c r="F269" s="19" t="str">
        <f>IFERROR(INDEX(貼り付け場所変換!G:G,MATCH(A269&amp;B269&amp;C269&amp;D269,貼り付け場所変換!H:H,0)),"該当なし")</f>
        <v>該当なし</v>
      </c>
    </row>
    <row r="270" spans="1:6">
      <c r="A270" s="19" t="s">
        <v>48</v>
      </c>
      <c r="B270" s="19" t="s">
        <v>46</v>
      </c>
      <c r="C270" s="19">
        <v>9</v>
      </c>
      <c r="D270" s="19" t="s">
        <v>43</v>
      </c>
      <c r="E270" s="20" t="str">
        <f>IFERROR(INDEX(貼り付け場所変換!F:F,MATCH(A270&amp;B270&amp;C270&amp;D270,貼り付け場所変換!H:H,0)),"該当なし")</f>
        <v>該当なし</v>
      </c>
      <c r="F270" s="19" t="str">
        <f>IFERROR(INDEX(貼り付け場所変換!G:G,MATCH(A270&amp;B270&amp;C270&amp;D270,貼り付け場所変換!H:H,0)),"該当なし")</f>
        <v>該当なし</v>
      </c>
    </row>
    <row r="271" spans="1:6">
      <c r="A271" s="19" t="s">
        <v>48</v>
      </c>
      <c r="B271" s="19" t="s">
        <v>46</v>
      </c>
      <c r="C271" s="19">
        <v>10</v>
      </c>
      <c r="D271" s="19" t="s">
        <v>43</v>
      </c>
      <c r="E271" s="20" t="str">
        <f>IFERROR(INDEX(貼り付け場所変換!F:F,MATCH(A271&amp;B271&amp;C271&amp;D271,貼り付け場所変換!H:H,0)),"該当なし")</f>
        <v>該当なし</v>
      </c>
      <c r="F271" s="19" t="str">
        <f>IFERROR(INDEX(貼り付け場所変換!G:G,MATCH(A271&amp;B271&amp;C271&amp;D271,貼り付け場所変換!H:H,0)),"該当なし")</f>
        <v>該当なし</v>
      </c>
    </row>
    <row r="272" spans="1:6">
      <c r="A272" s="19" t="s">
        <v>48</v>
      </c>
      <c r="B272" s="19" t="s">
        <v>47</v>
      </c>
      <c r="C272" s="19">
        <v>1</v>
      </c>
      <c r="D272" s="19" t="s">
        <v>41</v>
      </c>
      <c r="E272" s="20" t="str">
        <f>IFERROR(INDEX(貼り付け場所変換!F:F,MATCH(A272&amp;B272&amp;C272&amp;D272,貼り付け場所変換!H:H,0)),"該当なし")</f>
        <v>該当なし</v>
      </c>
      <c r="F272" s="19" t="str">
        <f>IFERROR(INDEX(貼り付け場所変換!G:G,MATCH(A272&amp;B272&amp;C272&amp;D272,貼り付け場所変換!H:H,0)),"該当なし")</f>
        <v>該当なし</v>
      </c>
    </row>
    <row r="273" spans="1:6">
      <c r="A273" s="19" t="s">
        <v>48</v>
      </c>
      <c r="B273" s="19" t="s">
        <v>47</v>
      </c>
      <c r="C273" s="19">
        <v>2</v>
      </c>
      <c r="D273" s="19" t="s">
        <v>41</v>
      </c>
      <c r="E273" s="20" t="str">
        <f>IFERROR(INDEX(貼り付け場所変換!F:F,MATCH(A273&amp;B273&amp;C273&amp;D273,貼り付け場所変換!H:H,0)),"該当なし")</f>
        <v>該当なし</v>
      </c>
      <c r="F273" s="19" t="str">
        <f>IFERROR(INDEX(貼り付け場所変換!G:G,MATCH(A273&amp;B273&amp;C273&amp;D273,貼り付け場所変換!H:H,0)),"該当なし")</f>
        <v>該当なし</v>
      </c>
    </row>
    <row r="274" spans="1:6">
      <c r="A274" s="19" t="s">
        <v>48</v>
      </c>
      <c r="B274" s="19" t="s">
        <v>47</v>
      </c>
      <c r="C274" s="19">
        <v>3</v>
      </c>
      <c r="D274" s="19" t="s">
        <v>41</v>
      </c>
      <c r="E274" s="20" t="str">
        <f>IFERROR(INDEX(貼り付け場所変換!F:F,MATCH(A274&amp;B274&amp;C274&amp;D274,貼り付け場所変換!H:H,0)),"該当なし")</f>
        <v>該当なし</v>
      </c>
      <c r="F274" s="19" t="str">
        <f>IFERROR(INDEX(貼り付け場所変換!G:G,MATCH(A274&amp;B274&amp;C274&amp;D274,貼り付け場所変換!H:H,0)),"該当なし")</f>
        <v>該当なし</v>
      </c>
    </row>
    <row r="275" spans="1:6">
      <c r="A275" s="19" t="s">
        <v>48</v>
      </c>
      <c r="B275" s="19" t="s">
        <v>47</v>
      </c>
      <c r="C275" s="19">
        <v>4</v>
      </c>
      <c r="D275" s="19" t="s">
        <v>41</v>
      </c>
      <c r="E275" s="20" t="str">
        <f>IFERROR(INDEX(貼り付け場所変換!F:F,MATCH(A275&amp;B275&amp;C275&amp;D275,貼り付け場所変換!H:H,0)),"該当なし")</f>
        <v>該当なし</v>
      </c>
      <c r="F275" s="19" t="str">
        <f>IFERROR(INDEX(貼り付け場所変換!G:G,MATCH(A275&amp;B275&amp;C275&amp;D275,貼り付け場所変換!H:H,0)),"該当なし")</f>
        <v>該当なし</v>
      </c>
    </row>
    <row r="276" spans="1:6">
      <c r="A276" s="19" t="s">
        <v>48</v>
      </c>
      <c r="B276" s="19" t="s">
        <v>47</v>
      </c>
      <c r="C276" s="19">
        <v>5</v>
      </c>
      <c r="D276" s="19" t="s">
        <v>41</v>
      </c>
      <c r="E276" s="20" t="str">
        <f>IFERROR(INDEX(貼り付け場所変換!F:F,MATCH(A276&amp;B276&amp;C276&amp;D276,貼り付け場所変換!H:H,0)),"該当なし")</f>
        <v>該当なし</v>
      </c>
      <c r="F276" s="19" t="str">
        <f>IFERROR(INDEX(貼り付け場所変換!G:G,MATCH(A276&amp;B276&amp;C276&amp;D276,貼り付け場所変換!H:H,0)),"該当なし")</f>
        <v>該当なし</v>
      </c>
    </row>
    <row r="277" spans="1:6">
      <c r="A277" s="19" t="s">
        <v>48</v>
      </c>
      <c r="B277" s="19" t="s">
        <v>47</v>
      </c>
      <c r="C277" s="19">
        <v>6</v>
      </c>
      <c r="D277" s="19" t="s">
        <v>41</v>
      </c>
      <c r="E277" s="20" t="str">
        <f>IFERROR(INDEX(貼り付け場所変換!F:F,MATCH(A277&amp;B277&amp;C277&amp;D277,貼り付け場所変換!H:H,0)),"該当なし")</f>
        <v>該当なし</v>
      </c>
      <c r="F277" s="19" t="str">
        <f>IFERROR(INDEX(貼り付け場所変換!G:G,MATCH(A277&amp;B277&amp;C277&amp;D277,貼り付け場所変換!H:H,0)),"該当なし")</f>
        <v>該当なし</v>
      </c>
    </row>
    <row r="278" spans="1:6">
      <c r="A278" s="19" t="s">
        <v>48</v>
      </c>
      <c r="B278" s="19" t="s">
        <v>47</v>
      </c>
      <c r="C278" s="19">
        <v>7</v>
      </c>
      <c r="D278" s="19" t="s">
        <v>41</v>
      </c>
      <c r="E278" s="20" t="str">
        <f>IFERROR(INDEX(貼り付け場所変換!F:F,MATCH(A278&amp;B278&amp;C278&amp;D278,貼り付け場所変換!H:H,0)),"該当なし")</f>
        <v>該当なし</v>
      </c>
      <c r="F278" s="19" t="str">
        <f>IFERROR(INDEX(貼り付け場所変換!G:G,MATCH(A278&amp;B278&amp;C278&amp;D278,貼り付け場所変換!H:H,0)),"該当なし")</f>
        <v>該当なし</v>
      </c>
    </row>
    <row r="279" spans="1:6">
      <c r="A279" s="19" t="s">
        <v>48</v>
      </c>
      <c r="B279" s="19" t="s">
        <v>47</v>
      </c>
      <c r="C279" s="19">
        <v>8</v>
      </c>
      <c r="D279" s="19" t="s">
        <v>41</v>
      </c>
      <c r="E279" s="20" t="str">
        <f>IFERROR(INDEX(貼り付け場所変換!F:F,MATCH(A279&amp;B279&amp;C279&amp;D279,貼り付け場所変換!H:H,0)),"該当なし")</f>
        <v>該当なし</v>
      </c>
      <c r="F279" s="19" t="str">
        <f>IFERROR(INDEX(貼り付け場所変換!G:G,MATCH(A279&amp;B279&amp;C279&amp;D279,貼り付け場所変換!H:H,0)),"該当なし")</f>
        <v>該当なし</v>
      </c>
    </row>
    <row r="280" spans="1:6">
      <c r="A280" s="19" t="s">
        <v>48</v>
      </c>
      <c r="B280" s="19" t="s">
        <v>47</v>
      </c>
      <c r="C280" s="19">
        <v>9</v>
      </c>
      <c r="D280" s="19" t="s">
        <v>41</v>
      </c>
      <c r="E280" s="20" t="str">
        <f>IFERROR(INDEX(貼り付け場所変換!F:F,MATCH(A280&amp;B280&amp;C280&amp;D280,貼り付け場所変換!H:H,0)),"該当なし")</f>
        <v>該当なし</v>
      </c>
      <c r="F280" s="19" t="str">
        <f>IFERROR(INDEX(貼り付け場所変換!G:G,MATCH(A280&amp;B280&amp;C280&amp;D280,貼り付け場所変換!H:H,0)),"該当なし")</f>
        <v>該当なし</v>
      </c>
    </row>
    <row r="281" spans="1:6">
      <c r="A281" s="19" t="s">
        <v>48</v>
      </c>
      <c r="B281" s="19" t="s">
        <v>47</v>
      </c>
      <c r="C281" s="19">
        <v>10</v>
      </c>
      <c r="D281" s="19" t="s">
        <v>41</v>
      </c>
      <c r="E281" s="20" t="str">
        <f>IFERROR(INDEX(貼り付け場所変換!F:F,MATCH(A281&amp;B281&amp;C281&amp;D281,貼り付け場所変換!H:H,0)),"該当なし")</f>
        <v>該当なし</v>
      </c>
      <c r="F281" s="19" t="str">
        <f>IFERROR(INDEX(貼り付け場所変換!G:G,MATCH(A281&amp;B281&amp;C281&amp;D281,貼り付け場所変換!H:H,0)),"該当なし")</f>
        <v>該当なし</v>
      </c>
    </row>
    <row r="282" spans="1:6">
      <c r="A282" s="19" t="s">
        <v>48</v>
      </c>
      <c r="B282" s="19" t="s">
        <v>47</v>
      </c>
      <c r="C282" s="19">
        <v>1</v>
      </c>
      <c r="D282" s="19" t="s">
        <v>42</v>
      </c>
      <c r="E282" s="20">
        <f>IFERROR(INDEX(貼り付け場所変換!F:F,MATCH(A282&amp;B282&amp;C282&amp;D282,貼り付け場所変換!H:H,0)),"該当なし")</f>
        <v>4.18</v>
      </c>
      <c r="F282" s="19" t="str">
        <f>IFERROR(INDEX(貼り付け場所変換!G:G,MATCH(A282&amp;B282&amp;C282&amp;D282,貼り付け場所変換!H:H,0)),"該当なし")</f>
        <v>破断状態B</v>
      </c>
    </row>
    <row r="283" spans="1:6">
      <c r="A283" s="19" t="s">
        <v>48</v>
      </c>
      <c r="B283" s="19" t="s">
        <v>47</v>
      </c>
      <c r="C283" s="19">
        <v>2</v>
      </c>
      <c r="D283" s="19" t="s">
        <v>42</v>
      </c>
      <c r="E283" s="20">
        <f>IFERROR(INDEX(貼り付け場所変換!F:F,MATCH(A283&amp;B283&amp;C283&amp;D283,貼り付け場所変換!H:H,0)),"該当なし")</f>
        <v>1.98</v>
      </c>
      <c r="F283" s="19" t="str">
        <f>IFERROR(INDEX(貼り付け場所変換!G:G,MATCH(A283&amp;B283&amp;C283&amp;D283,貼り付け場所変換!H:H,0)),"該当なし")</f>
        <v>破断状態B</v>
      </c>
    </row>
    <row r="284" spans="1:6">
      <c r="A284" s="19" t="s">
        <v>48</v>
      </c>
      <c r="B284" s="19" t="s">
        <v>47</v>
      </c>
      <c r="C284" s="19">
        <v>3</v>
      </c>
      <c r="D284" s="19" t="s">
        <v>42</v>
      </c>
      <c r="E284" s="20">
        <f>IFERROR(INDEX(貼り付け場所変換!F:F,MATCH(A284&amp;B284&amp;C284&amp;D284,貼り付け場所変換!H:H,0)),"該当なし")</f>
        <v>9.1999999999999993</v>
      </c>
      <c r="F284" s="19" t="str">
        <f>IFERROR(INDEX(貼り付け場所変換!G:G,MATCH(A284&amp;B284&amp;C284&amp;D284,貼り付け場所変換!H:H,0)),"該当なし")</f>
        <v>破断状態B</v>
      </c>
    </row>
    <row r="285" spans="1:6">
      <c r="A285" s="19" t="s">
        <v>48</v>
      </c>
      <c r="B285" s="19" t="s">
        <v>47</v>
      </c>
      <c r="C285" s="19">
        <v>4</v>
      </c>
      <c r="D285" s="19" t="s">
        <v>42</v>
      </c>
      <c r="E285" s="20">
        <f>IFERROR(INDEX(貼り付け場所変換!F:F,MATCH(A285&amp;B285&amp;C285&amp;D285,貼り付け場所変換!H:H,0)),"該当なし")</f>
        <v>6.6</v>
      </c>
      <c r="F285" s="19" t="str">
        <f>IFERROR(INDEX(貼り付け場所変換!G:G,MATCH(A285&amp;B285&amp;C285&amp;D285,貼り付け場所変換!H:H,0)),"該当なし")</f>
        <v>破断状態B</v>
      </c>
    </row>
    <row r="286" spans="1:6">
      <c r="A286" s="19" t="s">
        <v>48</v>
      </c>
      <c r="B286" s="19" t="s">
        <v>47</v>
      </c>
      <c r="C286" s="19">
        <v>5</v>
      </c>
      <c r="D286" s="19" t="s">
        <v>42</v>
      </c>
      <c r="E286" s="20">
        <f>IFERROR(INDEX(貼り付け場所変換!F:F,MATCH(A286&amp;B286&amp;C286&amp;D286,貼り付け場所変換!H:H,0)),"該当なし")</f>
        <v>7.07</v>
      </c>
      <c r="F286" s="19" t="str">
        <f>IFERROR(INDEX(貼り付け場所変換!G:G,MATCH(A286&amp;B286&amp;C286&amp;D286,貼り付け場所変換!H:H,0)),"該当なし")</f>
        <v>破断状態A</v>
      </c>
    </row>
    <row r="287" spans="1:6">
      <c r="A287" s="19" t="s">
        <v>48</v>
      </c>
      <c r="B287" s="19" t="s">
        <v>47</v>
      </c>
      <c r="C287" s="19">
        <v>6</v>
      </c>
      <c r="D287" s="19" t="s">
        <v>42</v>
      </c>
      <c r="E287" s="20" t="str">
        <f>IFERROR(INDEX(貼り付け場所変換!F:F,MATCH(A287&amp;B287&amp;C287&amp;D287,貼り付け場所変換!H:H,0)),"該当なし")</f>
        <v>該当なし</v>
      </c>
      <c r="F287" s="19" t="str">
        <f>IFERROR(INDEX(貼り付け場所変換!G:G,MATCH(A287&amp;B287&amp;C287&amp;D287,貼り付け場所変換!H:H,0)),"該当なし")</f>
        <v>該当なし</v>
      </c>
    </row>
    <row r="288" spans="1:6">
      <c r="A288" s="19" t="s">
        <v>48</v>
      </c>
      <c r="B288" s="19" t="s">
        <v>47</v>
      </c>
      <c r="C288" s="19">
        <v>7</v>
      </c>
      <c r="D288" s="19" t="s">
        <v>42</v>
      </c>
      <c r="E288" s="20" t="str">
        <f>IFERROR(INDEX(貼り付け場所変換!F:F,MATCH(A288&amp;B288&amp;C288&amp;D288,貼り付け場所変換!H:H,0)),"該当なし")</f>
        <v>該当なし</v>
      </c>
      <c r="F288" s="19" t="str">
        <f>IFERROR(INDEX(貼り付け場所変換!G:G,MATCH(A288&amp;B288&amp;C288&amp;D288,貼り付け場所変換!H:H,0)),"該当なし")</f>
        <v>該当なし</v>
      </c>
    </row>
    <row r="289" spans="1:6">
      <c r="A289" s="19" t="s">
        <v>48</v>
      </c>
      <c r="B289" s="19" t="s">
        <v>47</v>
      </c>
      <c r="C289" s="19">
        <v>8</v>
      </c>
      <c r="D289" s="19" t="s">
        <v>42</v>
      </c>
      <c r="E289" s="20" t="str">
        <f>IFERROR(INDEX(貼り付け場所変換!F:F,MATCH(A289&amp;B289&amp;C289&amp;D289,貼り付け場所変換!H:H,0)),"該当なし")</f>
        <v>該当なし</v>
      </c>
      <c r="F289" s="19" t="str">
        <f>IFERROR(INDEX(貼り付け場所変換!G:G,MATCH(A289&amp;B289&amp;C289&amp;D289,貼り付け場所変換!H:H,0)),"該当なし")</f>
        <v>該当なし</v>
      </c>
    </row>
    <row r="290" spans="1:6">
      <c r="A290" s="19" t="s">
        <v>48</v>
      </c>
      <c r="B290" s="19" t="s">
        <v>47</v>
      </c>
      <c r="C290" s="19">
        <v>9</v>
      </c>
      <c r="D290" s="19" t="s">
        <v>42</v>
      </c>
      <c r="E290" s="20" t="str">
        <f>IFERROR(INDEX(貼り付け場所変換!F:F,MATCH(A290&amp;B290&amp;C290&amp;D290,貼り付け場所変換!H:H,0)),"該当なし")</f>
        <v>該当なし</v>
      </c>
      <c r="F290" s="19" t="str">
        <f>IFERROR(INDEX(貼り付け場所変換!G:G,MATCH(A290&amp;B290&amp;C290&amp;D290,貼り付け場所変換!H:H,0)),"該当なし")</f>
        <v>該当なし</v>
      </c>
    </row>
    <row r="291" spans="1:6">
      <c r="A291" s="19" t="s">
        <v>48</v>
      </c>
      <c r="B291" s="19" t="s">
        <v>47</v>
      </c>
      <c r="C291" s="19">
        <v>10</v>
      </c>
      <c r="D291" s="19" t="s">
        <v>42</v>
      </c>
      <c r="E291" s="20" t="str">
        <f>IFERROR(INDEX(貼り付け場所変換!F:F,MATCH(A291&amp;B291&amp;C291&amp;D291,貼り付け場所変換!H:H,0)),"該当なし")</f>
        <v>該当なし</v>
      </c>
      <c r="F291" s="19" t="str">
        <f>IFERROR(INDEX(貼り付け場所変換!G:G,MATCH(A291&amp;B291&amp;C291&amp;D291,貼り付け場所変換!H:H,0)),"該当なし")</f>
        <v>該当なし</v>
      </c>
    </row>
    <row r="292" spans="1:6">
      <c r="A292" s="19" t="s">
        <v>48</v>
      </c>
      <c r="B292" s="19" t="s">
        <v>47</v>
      </c>
      <c r="C292" s="19">
        <v>1</v>
      </c>
      <c r="D292" s="19" t="s">
        <v>43</v>
      </c>
      <c r="E292" s="20" t="str">
        <f>IFERROR(INDEX(貼り付け場所変換!F:F,MATCH(A292&amp;B292&amp;C292&amp;D292,貼り付け場所変換!H:H,0)),"該当なし")</f>
        <v>該当なし</v>
      </c>
      <c r="F292" s="19" t="str">
        <f>IFERROR(INDEX(貼り付け場所変換!G:G,MATCH(A292&amp;B292&amp;C292&amp;D292,貼り付け場所変換!H:H,0)),"該当なし")</f>
        <v>該当なし</v>
      </c>
    </row>
    <row r="293" spans="1:6">
      <c r="A293" s="19" t="s">
        <v>48</v>
      </c>
      <c r="B293" s="19" t="s">
        <v>47</v>
      </c>
      <c r="C293" s="19">
        <v>2</v>
      </c>
      <c r="D293" s="19" t="s">
        <v>43</v>
      </c>
      <c r="E293" s="20" t="str">
        <f>IFERROR(INDEX(貼り付け場所変換!F:F,MATCH(A293&amp;B293&amp;C293&amp;D293,貼り付け場所変換!H:H,0)),"該当なし")</f>
        <v>該当なし</v>
      </c>
      <c r="F293" s="19" t="str">
        <f>IFERROR(INDEX(貼り付け場所変換!G:G,MATCH(A293&amp;B293&amp;C293&amp;D293,貼り付け場所変換!H:H,0)),"該当なし")</f>
        <v>該当なし</v>
      </c>
    </row>
    <row r="294" spans="1:6">
      <c r="A294" s="19" t="s">
        <v>48</v>
      </c>
      <c r="B294" s="19" t="s">
        <v>47</v>
      </c>
      <c r="C294" s="19">
        <v>3</v>
      </c>
      <c r="D294" s="19" t="s">
        <v>43</v>
      </c>
      <c r="E294" s="20" t="str">
        <f>IFERROR(INDEX(貼り付け場所変換!F:F,MATCH(A294&amp;B294&amp;C294&amp;D294,貼り付け場所変換!H:H,0)),"該当なし")</f>
        <v>該当なし</v>
      </c>
      <c r="F294" s="19" t="str">
        <f>IFERROR(INDEX(貼り付け場所変換!G:G,MATCH(A294&amp;B294&amp;C294&amp;D294,貼り付け場所変換!H:H,0)),"該当なし")</f>
        <v>該当なし</v>
      </c>
    </row>
    <row r="295" spans="1:6">
      <c r="A295" s="19" t="s">
        <v>48</v>
      </c>
      <c r="B295" s="19" t="s">
        <v>47</v>
      </c>
      <c r="C295" s="19">
        <v>4</v>
      </c>
      <c r="D295" s="19" t="s">
        <v>43</v>
      </c>
      <c r="E295" s="20" t="str">
        <f>IFERROR(INDEX(貼り付け場所変換!F:F,MATCH(A295&amp;B295&amp;C295&amp;D295,貼り付け場所変換!H:H,0)),"該当なし")</f>
        <v>該当なし</v>
      </c>
      <c r="F295" s="19" t="str">
        <f>IFERROR(INDEX(貼り付け場所変換!G:G,MATCH(A295&amp;B295&amp;C295&amp;D295,貼り付け場所変換!H:H,0)),"該当なし")</f>
        <v>該当なし</v>
      </c>
    </row>
    <row r="296" spans="1:6">
      <c r="A296" s="19" t="s">
        <v>48</v>
      </c>
      <c r="B296" s="19" t="s">
        <v>47</v>
      </c>
      <c r="C296" s="19">
        <v>5</v>
      </c>
      <c r="D296" s="19" t="s">
        <v>43</v>
      </c>
      <c r="E296" s="20" t="str">
        <f>IFERROR(INDEX(貼り付け場所変換!F:F,MATCH(A296&amp;B296&amp;C296&amp;D296,貼り付け場所変換!H:H,0)),"該当なし")</f>
        <v>該当なし</v>
      </c>
      <c r="F296" s="19" t="str">
        <f>IFERROR(INDEX(貼り付け場所変換!G:G,MATCH(A296&amp;B296&amp;C296&amp;D296,貼り付け場所変換!H:H,0)),"該当なし")</f>
        <v>該当なし</v>
      </c>
    </row>
    <row r="297" spans="1:6">
      <c r="A297" s="19" t="s">
        <v>48</v>
      </c>
      <c r="B297" s="19" t="s">
        <v>47</v>
      </c>
      <c r="C297" s="19">
        <v>6</v>
      </c>
      <c r="D297" s="19" t="s">
        <v>43</v>
      </c>
      <c r="E297" s="20" t="str">
        <f>IFERROR(INDEX(貼り付け場所変換!F:F,MATCH(A297&amp;B297&amp;C297&amp;D297,貼り付け場所変換!H:H,0)),"該当なし")</f>
        <v>該当なし</v>
      </c>
      <c r="F297" s="19" t="str">
        <f>IFERROR(INDEX(貼り付け場所変換!G:G,MATCH(A297&amp;B297&amp;C297&amp;D297,貼り付け場所変換!H:H,0)),"該当なし")</f>
        <v>該当なし</v>
      </c>
    </row>
    <row r="298" spans="1:6">
      <c r="A298" s="19" t="s">
        <v>48</v>
      </c>
      <c r="B298" s="19" t="s">
        <v>47</v>
      </c>
      <c r="C298" s="19">
        <v>7</v>
      </c>
      <c r="D298" s="19" t="s">
        <v>43</v>
      </c>
      <c r="E298" s="20" t="str">
        <f>IFERROR(INDEX(貼り付け場所変換!F:F,MATCH(A298&amp;B298&amp;C298&amp;D298,貼り付け場所変換!H:H,0)),"該当なし")</f>
        <v>該当なし</v>
      </c>
      <c r="F298" s="19" t="str">
        <f>IFERROR(INDEX(貼り付け場所変換!G:G,MATCH(A298&amp;B298&amp;C298&amp;D298,貼り付け場所変換!H:H,0)),"該当なし")</f>
        <v>該当なし</v>
      </c>
    </row>
    <row r="299" spans="1:6">
      <c r="A299" s="19" t="s">
        <v>48</v>
      </c>
      <c r="B299" s="19" t="s">
        <v>47</v>
      </c>
      <c r="C299" s="19">
        <v>8</v>
      </c>
      <c r="D299" s="19" t="s">
        <v>43</v>
      </c>
      <c r="E299" s="20" t="str">
        <f>IFERROR(INDEX(貼り付け場所変換!F:F,MATCH(A299&amp;B299&amp;C299&amp;D299,貼り付け場所変換!H:H,0)),"該当なし")</f>
        <v>該当なし</v>
      </c>
      <c r="F299" s="19" t="str">
        <f>IFERROR(INDEX(貼り付け場所変換!G:G,MATCH(A299&amp;B299&amp;C299&amp;D299,貼り付け場所変換!H:H,0)),"該当なし")</f>
        <v>該当なし</v>
      </c>
    </row>
    <row r="300" spans="1:6">
      <c r="A300" s="19" t="s">
        <v>48</v>
      </c>
      <c r="B300" s="19" t="s">
        <v>47</v>
      </c>
      <c r="C300" s="19">
        <v>9</v>
      </c>
      <c r="D300" s="19" t="s">
        <v>43</v>
      </c>
      <c r="E300" s="20" t="str">
        <f>IFERROR(INDEX(貼り付け場所変換!F:F,MATCH(A300&amp;B300&amp;C300&amp;D300,貼り付け場所変換!H:H,0)),"該当なし")</f>
        <v>該当なし</v>
      </c>
      <c r="F300" s="19" t="str">
        <f>IFERROR(INDEX(貼り付け場所変換!G:G,MATCH(A300&amp;B300&amp;C300&amp;D300,貼り付け場所変換!H:H,0)),"該当なし")</f>
        <v>該当なし</v>
      </c>
    </row>
    <row r="301" spans="1:6">
      <c r="A301" s="19" t="s">
        <v>48</v>
      </c>
      <c r="B301" s="19" t="s">
        <v>47</v>
      </c>
      <c r="C301" s="19">
        <v>10</v>
      </c>
      <c r="D301" s="19" t="s">
        <v>43</v>
      </c>
      <c r="E301" s="20" t="str">
        <f>IFERROR(INDEX(貼り付け場所変換!F:F,MATCH(A301&amp;B301&amp;C301&amp;D301,貼り付け場所変換!H:H,0)),"該当なし")</f>
        <v>該当なし</v>
      </c>
      <c r="F301" s="19" t="str">
        <f>IFERROR(INDEX(貼り付け場所変換!G:G,MATCH(A301&amp;B301&amp;C301&amp;D301,貼り付け場所変換!H:H,0)),"該当なし")</f>
        <v>該当なし</v>
      </c>
    </row>
    <row r="302" spans="1:6">
      <c r="A302" s="19" t="s">
        <v>49</v>
      </c>
      <c r="B302" s="19" t="s">
        <v>40</v>
      </c>
      <c r="C302" s="19">
        <v>1</v>
      </c>
      <c r="D302" s="19" t="s">
        <v>41</v>
      </c>
      <c r="E302" s="20">
        <f>IFERROR(INDEX(貼り付け場所変換!F:F,MATCH(A302&amp;B302&amp;C302&amp;D302,貼り付け場所変換!H:H,0)),"該当なし")</f>
        <v>1.86</v>
      </c>
      <c r="F302" s="19" t="str">
        <f>IFERROR(INDEX(貼り付け場所変換!G:G,MATCH(A302&amp;B302&amp;C302&amp;D302,貼り付け場所変換!H:H,0)),"該当なし")</f>
        <v>破断状態A</v>
      </c>
    </row>
    <row r="303" spans="1:6">
      <c r="A303" s="19" t="s">
        <v>49</v>
      </c>
      <c r="B303" s="19" t="s">
        <v>40</v>
      </c>
      <c r="C303" s="19">
        <v>2</v>
      </c>
      <c r="D303" s="19" t="s">
        <v>41</v>
      </c>
      <c r="E303" s="20">
        <f>IFERROR(INDEX(貼り付け場所変換!F:F,MATCH(A303&amp;B303&amp;C303&amp;D303,貼り付け場所変換!H:H,0)),"該当なし")</f>
        <v>2.69</v>
      </c>
      <c r="F303" s="19" t="str">
        <f>IFERROR(INDEX(貼り付け場所変換!G:G,MATCH(A303&amp;B303&amp;C303&amp;D303,貼り付け場所変換!H:H,0)),"該当なし")</f>
        <v>破断状態C</v>
      </c>
    </row>
    <row r="304" spans="1:6">
      <c r="A304" s="19" t="s">
        <v>49</v>
      </c>
      <c r="B304" s="19" t="s">
        <v>40</v>
      </c>
      <c r="C304" s="19">
        <v>3</v>
      </c>
      <c r="D304" s="19" t="s">
        <v>41</v>
      </c>
      <c r="E304" s="20">
        <f>IFERROR(INDEX(貼り付け場所変換!F:F,MATCH(A304&amp;B304&amp;C304&amp;D304,貼り付け場所変換!H:H,0)),"該当なし")</f>
        <v>2.98</v>
      </c>
      <c r="F304" s="19" t="str">
        <f>IFERROR(INDEX(貼り付け場所変換!G:G,MATCH(A304&amp;B304&amp;C304&amp;D304,貼り付け場所変換!H:H,0)),"該当なし")</f>
        <v>破断状態C</v>
      </c>
    </row>
    <row r="305" spans="1:6">
      <c r="A305" s="19" t="s">
        <v>49</v>
      </c>
      <c r="B305" s="19" t="s">
        <v>40</v>
      </c>
      <c r="C305" s="19">
        <v>4</v>
      </c>
      <c r="D305" s="19" t="s">
        <v>41</v>
      </c>
      <c r="E305" s="20">
        <f>IFERROR(INDEX(貼り付け場所変換!F:F,MATCH(A305&amp;B305&amp;C305&amp;D305,貼り付け場所変換!H:H,0)),"該当なし")</f>
        <v>7.56</v>
      </c>
      <c r="F305" s="19" t="str">
        <f>IFERROR(INDEX(貼り付け場所変換!G:G,MATCH(A305&amp;B305&amp;C305&amp;D305,貼り付け場所変換!H:H,0)),"該当なし")</f>
        <v>破断状態A</v>
      </c>
    </row>
    <row r="306" spans="1:6">
      <c r="A306" s="19" t="s">
        <v>49</v>
      </c>
      <c r="B306" s="19" t="s">
        <v>40</v>
      </c>
      <c r="C306" s="19">
        <v>5</v>
      </c>
      <c r="D306" s="19" t="s">
        <v>41</v>
      </c>
      <c r="E306" s="20">
        <f>IFERROR(INDEX(貼り付け場所変換!F:F,MATCH(A306&amp;B306&amp;C306&amp;D306,貼り付け場所変換!H:H,0)),"該当なし")</f>
        <v>9.27</v>
      </c>
      <c r="F306" s="19" t="str">
        <f>IFERROR(INDEX(貼り付け場所変換!G:G,MATCH(A306&amp;B306&amp;C306&amp;D306,貼り付け場所変換!H:H,0)),"該当なし")</f>
        <v>破断状態B</v>
      </c>
    </row>
    <row r="307" spans="1:6">
      <c r="A307" s="19" t="s">
        <v>49</v>
      </c>
      <c r="B307" s="19" t="s">
        <v>40</v>
      </c>
      <c r="C307" s="19">
        <v>6</v>
      </c>
      <c r="D307" s="19" t="s">
        <v>41</v>
      </c>
      <c r="E307" s="20" t="str">
        <f>IFERROR(INDEX(貼り付け場所変換!F:F,MATCH(A307&amp;B307&amp;C307&amp;D307,貼り付け場所変換!H:H,0)),"該当なし")</f>
        <v>該当なし</v>
      </c>
      <c r="F307" s="19" t="str">
        <f>IFERROR(INDEX(貼り付け場所変換!G:G,MATCH(A307&amp;B307&amp;C307&amp;D307,貼り付け場所変換!H:H,0)),"該当なし")</f>
        <v>該当なし</v>
      </c>
    </row>
    <row r="308" spans="1:6">
      <c r="A308" s="19" t="s">
        <v>49</v>
      </c>
      <c r="B308" s="19" t="s">
        <v>40</v>
      </c>
      <c r="C308" s="19">
        <v>7</v>
      </c>
      <c r="D308" s="19" t="s">
        <v>41</v>
      </c>
      <c r="E308" s="20" t="str">
        <f>IFERROR(INDEX(貼り付け場所変換!F:F,MATCH(A308&amp;B308&amp;C308&amp;D308,貼り付け場所変換!H:H,0)),"該当なし")</f>
        <v>該当なし</v>
      </c>
      <c r="F308" s="19" t="str">
        <f>IFERROR(INDEX(貼り付け場所変換!G:G,MATCH(A308&amp;B308&amp;C308&amp;D308,貼り付け場所変換!H:H,0)),"該当なし")</f>
        <v>該当なし</v>
      </c>
    </row>
    <row r="309" spans="1:6">
      <c r="A309" s="19" t="s">
        <v>49</v>
      </c>
      <c r="B309" s="19" t="s">
        <v>40</v>
      </c>
      <c r="C309" s="19">
        <v>8</v>
      </c>
      <c r="D309" s="19" t="s">
        <v>41</v>
      </c>
      <c r="E309" s="20" t="str">
        <f>IFERROR(INDEX(貼り付け場所変換!F:F,MATCH(A309&amp;B309&amp;C309&amp;D309,貼り付け場所変換!H:H,0)),"該当なし")</f>
        <v>該当なし</v>
      </c>
      <c r="F309" s="19" t="str">
        <f>IFERROR(INDEX(貼り付け場所変換!G:G,MATCH(A309&amp;B309&amp;C309&amp;D309,貼り付け場所変換!H:H,0)),"該当なし")</f>
        <v>該当なし</v>
      </c>
    </row>
    <row r="310" spans="1:6">
      <c r="A310" s="19" t="s">
        <v>49</v>
      </c>
      <c r="B310" s="19" t="s">
        <v>40</v>
      </c>
      <c r="C310" s="19">
        <v>9</v>
      </c>
      <c r="D310" s="19" t="s">
        <v>41</v>
      </c>
      <c r="E310" s="20" t="str">
        <f>IFERROR(INDEX(貼り付け場所変換!F:F,MATCH(A310&amp;B310&amp;C310&amp;D310,貼り付け場所変換!H:H,0)),"該当なし")</f>
        <v>該当なし</v>
      </c>
      <c r="F310" s="19" t="str">
        <f>IFERROR(INDEX(貼り付け場所変換!G:G,MATCH(A310&amp;B310&amp;C310&amp;D310,貼り付け場所変換!H:H,0)),"該当なし")</f>
        <v>該当なし</v>
      </c>
    </row>
    <row r="311" spans="1:6">
      <c r="A311" s="19" t="s">
        <v>49</v>
      </c>
      <c r="B311" s="19" t="s">
        <v>40</v>
      </c>
      <c r="C311" s="19">
        <v>10</v>
      </c>
      <c r="D311" s="19" t="s">
        <v>41</v>
      </c>
      <c r="E311" s="20" t="str">
        <f>IFERROR(INDEX(貼り付け場所変換!F:F,MATCH(A311&amp;B311&amp;C311&amp;D311,貼り付け場所変換!H:H,0)),"該当なし")</f>
        <v>該当なし</v>
      </c>
      <c r="F311" s="19" t="str">
        <f>IFERROR(INDEX(貼り付け場所変換!G:G,MATCH(A311&amp;B311&amp;C311&amp;D311,貼り付け場所変換!H:H,0)),"該当なし")</f>
        <v>該当なし</v>
      </c>
    </row>
    <row r="312" spans="1:6">
      <c r="A312" s="19" t="s">
        <v>49</v>
      </c>
      <c r="B312" s="19" t="s">
        <v>40</v>
      </c>
      <c r="C312" s="19">
        <v>1</v>
      </c>
      <c r="D312" s="19" t="s">
        <v>42</v>
      </c>
      <c r="E312" s="20" t="str">
        <f>IFERROR(INDEX(貼り付け場所変換!F:F,MATCH(A312&amp;B312&amp;C312&amp;D312,貼り付け場所変換!H:H,0)),"該当なし")</f>
        <v>該当なし</v>
      </c>
      <c r="F312" s="19" t="str">
        <f>IFERROR(INDEX(貼り付け場所変換!G:G,MATCH(A312&amp;B312&amp;C312&amp;D312,貼り付け場所変換!H:H,0)),"該当なし")</f>
        <v>該当なし</v>
      </c>
    </row>
    <row r="313" spans="1:6">
      <c r="A313" s="19" t="s">
        <v>49</v>
      </c>
      <c r="B313" s="19" t="s">
        <v>40</v>
      </c>
      <c r="C313" s="19">
        <v>2</v>
      </c>
      <c r="D313" s="19" t="s">
        <v>42</v>
      </c>
      <c r="E313" s="20" t="str">
        <f>IFERROR(INDEX(貼り付け場所変換!F:F,MATCH(A313&amp;B313&amp;C313&amp;D313,貼り付け場所変換!H:H,0)),"該当なし")</f>
        <v>該当なし</v>
      </c>
      <c r="F313" s="19" t="str">
        <f>IFERROR(INDEX(貼り付け場所変換!G:G,MATCH(A313&amp;B313&amp;C313&amp;D313,貼り付け場所変換!H:H,0)),"該当なし")</f>
        <v>該当なし</v>
      </c>
    </row>
    <row r="314" spans="1:6">
      <c r="A314" s="19" t="s">
        <v>49</v>
      </c>
      <c r="B314" s="19" t="s">
        <v>40</v>
      </c>
      <c r="C314" s="19">
        <v>3</v>
      </c>
      <c r="D314" s="19" t="s">
        <v>42</v>
      </c>
      <c r="E314" s="20" t="str">
        <f>IFERROR(INDEX(貼り付け場所変換!F:F,MATCH(A314&amp;B314&amp;C314&amp;D314,貼り付け場所変換!H:H,0)),"該当なし")</f>
        <v>該当なし</v>
      </c>
      <c r="F314" s="19" t="str">
        <f>IFERROR(INDEX(貼り付け場所変換!G:G,MATCH(A314&amp;B314&amp;C314&amp;D314,貼り付け場所変換!H:H,0)),"該当なし")</f>
        <v>該当なし</v>
      </c>
    </row>
    <row r="315" spans="1:6">
      <c r="A315" s="19" t="s">
        <v>49</v>
      </c>
      <c r="B315" s="19" t="s">
        <v>40</v>
      </c>
      <c r="C315" s="19">
        <v>4</v>
      </c>
      <c r="D315" s="19" t="s">
        <v>42</v>
      </c>
      <c r="E315" s="20" t="str">
        <f>IFERROR(INDEX(貼り付け場所変換!F:F,MATCH(A315&amp;B315&amp;C315&amp;D315,貼り付け場所変換!H:H,0)),"該当なし")</f>
        <v>該当なし</v>
      </c>
      <c r="F315" s="19" t="str">
        <f>IFERROR(INDEX(貼り付け場所変換!G:G,MATCH(A315&amp;B315&amp;C315&amp;D315,貼り付け場所変換!H:H,0)),"該当なし")</f>
        <v>該当なし</v>
      </c>
    </row>
    <row r="316" spans="1:6">
      <c r="A316" s="19" t="s">
        <v>49</v>
      </c>
      <c r="B316" s="19" t="s">
        <v>40</v>
      </c>
      <c r="C316" s="19">
        <v>5</v>
      </c>
      <c r="D316" s="19" t="s">
        <v>42</v>
      </c>
      <c r="E316" s="20" t="str">
        <f>IFERROR(INDEX(貼り付け場所変換!F:F,MATCH(A316&amp;B316&amp;C316&amp;D316,貼り付け場所変換!H:H,0)),"該当なし")</f>
        <v>該当なし</v>
      </c>
      <c r="F316" s="19" t="str">
        <f>IFERROR(INDEX(貼り付け場所変換!G:G,MATCH(A316&amp;B316&amp;C316&amp;D316,貼り付け場所変換!H:H,0)),"該当なし")</f>
        <v>該当なし</v>
      </c>
    </row>
    <row r="317" spans="1:6">
      <c r="A317" s="19" t="s">
        <v>49</v>
      </c>
      <c r="B317" s="19" t="s">
        <v>40</v>
      </c>
      <c r="C317" s="19">
        <v>6</v>
      </c>
      <c r="D317" s="19" t="s">
        <v>42</v>
      </c>
      <c r="E317" s="20" t="str">
        <f>IFERROR(INDEX(貼り付け場所変換!F:F,MATCH(A317&amp;B317&amp;C317&amp;D317,貼り付け場所変換!H:H,0)),"該当なし")</f>
        <v>該当なし</v>
      </c>
      <c r="F317" s="19" t="str">
        <f>IFERROR(INDEX(貼り付け場所変換!G:G,MATCH(A317&amp;B317&amp;C317&amp;D317,貼り付け場所変換!H:H,0)),"該当なし")</f>
        <v>該当なし</v>
      </c>
    </row>
    <row r="318" spans="1:6">
      <c r="A318" s="19" t="s">
        <v>49</v>
      </c>
      <c r="B318" s="19" t="s">
        <v>40</v>
      </c>
      <c r="C318" s="19">
        <v>7</v>
      </c>
      <c r="D318" s="19" t="s">
        <v>42</v>
      </c>
      <c r="E318" s="20" t="str">
        <f>IFERROR(INDEX(貼り付け場所変換!F:F,MATCH(A318&amp;B318&amp;C318&amp;D318,貼り付け場所変換!H:H,0)),"該当なし")</f>
        <v>該当なし</v>
      </c>
      <c r="F318" s="19" t="str">
        <f>IFERROR(INDEX(貼り付け場所変換!G:G,MATCH(A318&amp;B318&amp;C318&amp;D318,貼り付け場所変換!H:H,0)),"該当なし")</f>
        <v>該当なし</v>
      </c>
    </row>
    <row r="319" spans="1:6">
      <c r="A319" s="19" t="s">
        <v>49</v>
      </c>
      <c r="B319" s="19" t="s">
        <v>40</v>
      </c>
      <c r="C319" s="19">
        <v>8</v>
      </c>
      <c r="D319" s="19" t="s">
        <v>42</v>
      </c>
      <c r="E319" s="20" t="str">
        <f>IFERROR(INDEX(貼り付け場所変換!F:F,MATCH(A319&amp;B319&amp;C319&amp;D319,貼り付け場所変換!H:H,0)),"該当なし")</f>
        <v>該当なし</v>
      </c>
      <c r="F319" s="19" t="str">
        <f>IFERROR(INDEX(貼り付け場所変換!G:G,MATCH(A319&amp;B319&amp;C319&amp;D319,貼り付け場所変換!H:H,0)),"該当なし")</f>
        <v>該当なし</v>
      </c>
    </row>
    <row r="320" spans="1:6">
      <c r="A320" s="19" t="s">
        <v>49</v>
      </c>
      <c r="B320" s="19" t="s">
        <v>40</v>
      </c>
      <c r="C320" s="19">
        <v>9</v>
      </c>
      <c r="D320" s="19" t="s">
        <v>42</v>
      </c>
      <c r="E320" s="20" t="str">
        <f>IFERROR(INDEX(貼り付け場所変換!F:F,MATCH(A320&amp;B320&amp;C320&amp;D320,貼り付け場所変換!H:H,0)),"該当なし")</f>
        <v>該当なし</v>
      </c>
      <c r="F320" s="19" t="str">
        <f>IFERROR(INDEX(貼り付け場所変換!G:G,MATCH(A320&amp;B320&amp;C320&amp;D320,貼り付け場所変換!H:H,0)),"該当なし")</f>
        <v>該当なし</v>
      </c>
    </row>
    <row r="321" spans="1:6">
      <c r="A321" s="19" t="s">
        <v>49</v>
      </c>
      <c r="B321" s="19" t="s">
        <v>40</v>
      </c>
      <c r="C321" s="19">
        <v>10</v>
      </c>
      <c r="D321" s="19" t="s">
        <v>42</v>
      </c>
      <c r="E321" s="20" t="str">
        <f>IFERROR(INDEX(貼り付け場所変換!F:F,MATCH(A321&amp;B321&amp;C321&amp;D321,貼り付け場所変換!H:H,0)),"該当なし")</f>
        <v>該当なし</v>
      </c>
      <c r="F321" s="19" t="str">
        <f>IFERROR(INDEX(貼り付け場所変換!G:G,MATCH(A321&amp;B321&amp;C321&amp;D321,貼り付け場所変換!H:H,0)),"該当なし")</f>
        <v>該当なし</v>
      </c>
    </row>
    <row r="322" spans="1:6">
      <c r="A322" s="19" t="s">
        <v>49</v>
      </c>
      <c r="B322" s="19" t="s">
        <v>40</v>
      </c>
      <c r="C322" s="19">
        <v>1</v>
      </c>
      <c r="D322" s="19" t="s">
        <v>43</v>
      </c>
      <c r="E322" s="20" t="str">
        <f>IFERROR(INDEX(貼り付け場所変換!F:F,MATCH(A322&amp;B322&amp;C322&amp;D322,貼り付け場所変換!H:H,0)),"該当なし")</f>
        <v>該当なし</v>
      </c>
      <c r="F322" s="19" t="str">
        <f>IFERROR(INDEX(貼り付け場所変換!G:G,MATCH(A322&amp;B322&amp;C322&amp;D322,貼り付け場所変換!H:H,0)),"該当なし")</f>
        <v>該当なし</v>
      </c>
    </row>
    <row r="323" spans="1:6">
      <c r="A323" s="19" t="s">
        <v>49</v>
      </c>
      <c r="B323" s="19" t="s">
        <v>40</v>
      </c>
      <c r="C323" s="19">
        <v>2</v>
      </c>
      <c r="D323" s="19" t="s">
        <v>43</v>
      </c>
      <c r="E323" s="20" t="str">
        <f>IFERROR(INDEX(貼り付け場所変換!F:F,MATCH(A323&amp;B323&amp;C323&amp;D323,貼り付け場所変換!H:H,0)),"該当なし")</f>
        <v>該当なし</v>
      </c>
      <c r="F323" s="19" t="str">
        <f>IFERROR(INDEX(貼り付け場所変換!G:G,MATCH(A323&amp;B323&amp;C323&amp;D323,貼り付け場所変換!H:H,0)),"該当なし")</f>
        <v>該当なし</v>
      </c>
    </row>
    <row r="324" spans="1:6">
      <c r="A324" s="19" t="s">
        <v>49</v>
      </c>
      <c r="B324" s="19" t="s">
        <v>40</v>
      </c>
      <c r="C324" s="19">
        <v>3</v>
      </c>
      <c r="D324" s="19" t="s">
        <v>43</v>
      </c>
      <c r="E324" s="20" t="str">
        <f>IFERROR(INDEX(貼り付け場所変換!F:F,MATCH(A324&amp;B324&amp;C324&amp;D324,貼り付け場所変換!H:H,0)),"該当なし")</f>
        <v>該当なし</v>
      </c>
      <c r="F324" s="19" t="str">
        <f>IFERROR(INDEX(貼り付け場所変換!G:G,MATCH(A324&amp;B324&amp;C324&amp;D324,貼り付け場所変換!H:H,0)),"該当なし")</f>
        <v>該当なし</v>
      </c>
    </row>
    <row r="325" spans="1:6">
      <c r="A325" s="19" t="s">
        <v>49</v>
      </c>
      <c r="B325" s="19" t="s">
        <v>40</v>
      </c>
      <c r="C325" s="19">
        <v>4</v>
      </c>
      <c r="D325" s="19" t="s">
        <v>43</v>
      </c>
      <c r="E325" s="20" t="str">
        <f>IFERROR(INDEX(貼り付け場所変換!F:F,MATCH(A325&amp;B325&amp;C325&amp;D325,貼り付け場所変換!H:H,0)),"該当なし")</f>
        <v>該当なし</v>
      </c>
      <c r="F325" s="19" t="str">
        <f>IFERROR(INDEX(貼り付け場所変換!G:G,MATCH(A325&amp;B325&amp;C325&amp;D325,貼り付け場所変換!H:H,0)),"該当なし")</f>
        <v>該当なし</v>
      </c>
    </row>
    <row r="326" spans="1:6">
      <c r="A326" s="19" t="s">
        <v>49</v>
      </c>
      <c r="B326" s="19" t="s">
        <v>40</v>
      </c>
      <c r="C326" s="19">
        <v>5</v>
      </c>
      <c r="D326" s="19" t="s">
        <v>43</v>
      </c>
      <c r="E326" s="20" t="str">
        <f>IFERROR(INDEX(貼り付け場所変換!F:F,MATCH(A326&amp;B326&amp;C326&amp;D326,貼り付け場所変換!H:H,0)),"該当なし")</f>
        <v>該当なし</v>
      </c>
      <c r="F326" s="19" t="str">
        <f>IFERROR(INDEX(貼り付け場所変換!G:G,MATCH(A326&amp;B326&amp;C326&amp;D326,貼り付け場所変換!H:H,0)),"該当なし")</f>
        <v>該当なし</v>
      </c>
    </row>
    <row r="327" spans="1:6">
      <c r="A327" s="19" t="s">
        <v>49</v>
      </c>
      <c r="B327" s="19" t="s">
        <v>40</v>
      </c>
      <c r="C327" s="19">
        <v>6</v>
      </c>
      <c r="D327" s="19" t="s">
        <v>43</v>
      </c>
      <c r="E327" s="20" t="str">
        <f>IFERROR(INDEX(貼り付け場所変換!F:F,MATCH(A327&amp;B327&amp;C327&amp;D327,貼り付け場所変換!H:H,0)),"該当なし")</f>
        <v>該当なし</v>
      </c>
      <c r="F327" s="19" t="str">
        <f>IFERROR(INDEX(貼り付け場所変換!G:G,MATCH(A327&amp;B327&amp;C327&amp;D327,貼り付け場所変換!H:H,0)),"該当なし")</f>
        <v>該当なし</v>
      </c>
    </row>
    <row r="328" spans="1:6">
      <c r="A328" s="19" t="s">
        <v>49</v>
      </c>
      <c r="B328" s="19" t="s">
        <v>40</v>
      </c>
      <c r="C328" s="19">
        <v>7</v>
      </c>
      <c r="D328" s="19" t="s">
        <v>43</v>
      </c>
      <c r="E328" s="20" t="str">
        <f>IFERROR(INDEX(貼り付け場所変換!F:F,MATCH(A328&amp;B328&amp;C328&amp;D328,貼り付け場所変換!H:H,0)),"該当なし")</f>
        <v>該当なし</v>
      </c>
      <c r="F328" s="19" t="str">
        <f>IFERROR(INDEX(貼り付け場所変換!G:G,MATCH(A328&amp;B328&amp;C328&amp;D328,貼り付け場所変換!H:H,0)),"該当なし")</f>
        <v>該当なし</v>
      </c>
    </row>
    <row r="329" spans="1:6">
      <c r="A329" s="19" t="s">
        <v>49</v>
      </c>
      <c r="B329" s="19" t="s">
        <v>40</v>
      </c>
      <c r="C329" s="19">
        <v>8</v>
      </c>
      <c r="D329" s="19" t="s">
        <v>43</v>
      </c>
      <c r="E329" s="20" t="str">
        <f>IFERROR(INDEX(貼り付け場所変換!F:F,MATCH(A329&amp;B329&amp;C329&amp;D329,貼り付け場所変換!H:H,0)),"該当なし")</f>
        <v>該当なし</v>
      </c>
      <c r="F329" s="19" t="str">
        <f>IFERROR(INDEX(貼り付け場所変換!G:G,MATCH(A329&amp;B329&amp;C329&amp;D329,貼り付け場所変換!H:H,0)),"該当なし")</f>
        <v>該当なし</v>
      </c>
    </row>
    <row r="330" spans="1:6">
      <c r="A330" s="19" t="s">
        <v>49</v>
      </c>
      <c r="B330" s="19" t="s">
        <v>40</v>
      </c>
      <c r="C330" s="19">
        <v>9</v>
      </c>
      <c r="D330" s="19" t="s">
        <v>43</v>
      </c>
      <c r="E330" s="20" t="str">
        <f>IFERROR(INDEX(貼り付け場所変換!F:F,MATCH(A330&amp;B330&amp;C330&amp;D330,貼り付け場所変換!H:H,0)),"該当なし")</f>
        <v>該当なし</v>
      </c>
      <c r="F330" s="19" t="str">
        <f>IFERROR(INDEX(貼り付け場所変換!G:G,MATCH(A330&amp;B330&amp;C330&amp;D330,貼り付け場所変換!H:H,0)),"該当なし")</f>
        <v>該当なし</v>
      </c>
    </row>
    <row r="331" spans="1:6">
      <c r="A331" s="19" t="s">
        <v>49</v>
      </c>
      <c r="B331" s="19" t="s">
        <v>40</v>
      </c>
      <c r="C331" s="19">
        <v>10</v>
      </c>
      <c r="D331" s="19" t="s">
        <v>43</v>
      </c>
      <c r="E331" s="20" t="str">
        <f>IFERROR(INDEX(貼り付け場所変換!F:F,MATCH(A331&amp;B331&amp;C331&amp;D331,貼り付け場所変換!H:H,0)),"該当なし")</f>
        <v>該当なし</v>
      </c>
      <c r="F331" s="19" t="str">
        <f>IFERROR(INDEX(貼り付け場所変換!G:G,MATCH(A331&amp;B331&amp;C331&amp;D331,貼り付け場所変換!H:H,0)),"該当なし")</f>
        <v>該当なし</v>
      </c>
    </row>
    <row r="332" spans="1:6">
      <c r="A332" s="19" t="s">
        <v>49</v>
      </c>
      <c r="B332" s="19" t="s">
        <v>44</v>
      </c>
      <c r="C332" s="19">
        <v>1</v>
      </c>
      <c r="D332" s="19" t="s">
        <v>41</v>
      </c>
      <c r="E332" s="20" t="str">
        <f>IFERROR(INDEX(貼り付け場所変換!F:F,MATCH(A332&amp;B332&amp;C332&amp;D332,貼り付け場所変換!H:H,0)),"該当なし")</f>
        <v>該当なし</v>
      </c>
      <c r="F332" s="19" t="str">
        <f>IFERROR(INDEX(貼り付け場所変換!G:G,MATCH(A332&amp;B332&amp;C332&amp;D332,貼り付け場所変換!H:H,0)),"該当なし")</f>
        <v>該当なし</v>
      </c>
    </row>
    <row r="333" spans="1:6">
      <c r="A333" s="19" t="s">
        <v>49</v>
      </c>
      <c r="B333" s="19" t="s">
        <v>44</v>
      </c>
      <c r="C333" s="19">
        <v>2</v>
      </c>
      <c r="D333" s="19" t="s">
        <v>41</v>
      </c>
      <c r="E333" s="20" t="str">
        <f>IFERROR(INDEX(貼り付け場所変換!F:F,MATCH(A333&amp;B333&amp;C333&amp;D333,貼り付け場所変換!H:H,0)),"該当なし")</f>
        <v>該当なし</v>
      </c>
      <c r="F333" s="19" t="str">
        <f>IFERROR(INDEX(貼り付け場所変換!G:G,MATCH(A333&amp;B333&amp;C333&amp;D333,貼り付け場所変換!H:H,0)),"該当なし")</f>
        <v>該当なし</v>
      </c>
    </row>
    <row r="334" spans="1:6">
      <c r="A334" s="19" t="s">
        <v>49</v>
      </c>
      <c r="B334" s="19" t="s">
        <v>44</v>
      </c>
      <c r="C334" s="19">
        <v>3</v>
      </c>
      <c r="D334" s="19" t="s">
        <v>41</v>
      </c>
      <c r="E334" s="20" t="str">
        <f>IFERROR(INDEX(貼り付け場所変換!F:F,MATCH(A334&amp;B334&amp;C334&amp;D334,貼り付け場所変換!H:H,0)),"該当なし")</f>
        <v>該当なし</v>
      </c>
      <c r="F334" s="19" t="str">
        <f>IFERROR(INDEX(貼り付け場所変換!G:G,MATCH(A334&amp;B334&amp;C334&amp;D334,貼り付け場所変換!H:H,0)),"該当なし")</f>
        <v>該当なし</v>
      </c>
    </row>
    <row r="335" spans="1:6">
      <c r="A335" s="19" t="s">
        <v>49</v>
      </c>
      <c r="B335" s="19" t="s">
        <v>44</v>
      </c>
      <c r="C335" s="19">
        <v>4</v>
      </c>
      <c r="D335" s="19" t="s">
        <v>41</v>
      </c>
      <c r="E335" s="20" t="str">
        <f>IFERROR(INDEX(貼り付け場所変換!F:F,MATCH(A335&amp;B335&amp;C335&amp;D335,貼り付け場所変換!H:H,0)),"該当なし")</f>
        <v>該当なし</v>
      </c>
      <c r="F335" s="19" t="str">
        <f>IFERROR(INDEX(貼り付け場所変換!G:G,MATCH(A335&amp;B335&amp;C335&amp;D335,貼り付け場所変換!H:H,0)),"該当なし")</f>
        <v>該当なし</v>
      </c>
    </row>
    <row r="336" spans="1:6">
      <c r="A336" s="19" t="s">
        <v>49</v>
      </c>
      <c r="B336" s="19" t="s">
        <v>44</v>
      </c>
      <c r="C336" s="19">
        <v>5</v>
      </c>
      <c r="D336" s="19" t="s">
        <v>41</v>
      </c>
      <c r="E336" s="20" t="str">
        <f>IFERROR(INDEX(貼り付け場所変換!F:F,MATCH(A336&amp;B336&amp;C336&amp;D336,貼り付け場所変換!H:H,0)),"該当なし")</f>
        <v>該当なし</v>
      </c>
      <c r="F336" s="19" t="str">
        <f>IFERROR(INDEX(貼り付け場所変換!G:G,MATCH(A336&amp;B336&amp;C336&amp;D336,貼り付け場所変換!H:H,0)),"該当なし")</f>
        <v>該当なし</v>
      </c>
    </row>
    <row r="337" spans="1:6">
      <c r="A337" s="19" t="s">
        <v>49</v>
      </c>
      <c r="B337" s="19" t="s">
        <v>44</v>
      </c>
      <c r="C337" s="19">
        <v>6</v>
      </c>
      <c r="D337" s="19" t="s">
        <v>41</v>
      </c>
      <c r="E337" s="20" t="str">
        <f>IFERROR(INDEX(貼り付け場所変換!F:F,MATCH(A337&amp;B337&amp;C337&amp;D337,貼り付け場所変換!H:H,0)),"該当なし")</f>
        <v>該当なし</v>
      </c>
      <c r="F337" s="19" t="str">
        <f>IFERROR(INDEX(貼り付け場所変換!G:G,MATCH(A337&amp;B337&amp;C337&amp;D337,貼り付け場所変換!H:H,0)),"該当なし")</f>
        <v>該当なし</v>
      </c>
    </row>
    <row r="338" spans="1:6">
      <c r="A338" s="19" t="s">
        <v>49</v>
      </c>
      <c r="B338" s="19" t="s">
        <v>44</v>
      </c>
      <c r="C338" s="19">
        <v>7</v>
      </c>
      <c r="D338" s="19" t="s">
        <v>41</v>
      </c>
      <c r="E338" s="20" t="str">
        <f>IFERROR(INDEX(貼り付け場所変換!F:F,MATCH(A338&amp;B338&amp;C338&amp;D338,貼り付け場所変換!H:H,0)),"該当なし")</f>
        <v>該当なし</v>
      </c>
      <c r="F338" s="19" t="str">
        <f>IFERROR(INDEX(貼り付け場所変換!G:G,MATCH(A338&amp;B338&amp;C338&amp;D338,貼り付け場所変換!H:H,0)),"該当なし")</f>
        <v>該当なし</v>
      </c>
    </row>
    <row r="339" spans="1:6">
      <c r="A339" s="19" t="s">
        <v>49</v>
      </c>
      <c r="B339" s="19" t="s">
        <v>44</v>
      </c>
      <c r="C339" s="19">
        <v>8</v>
      </c>
      <c r="D339" s="19" t="s">
        <v>41</v>
      </c>
      <c r="E339" s="20" t="str">
        <f>IFERROR(INDEX(貼り付け場所変換!F:F,MATCH(A339&amp;B339&amp;C339&amp;D339,貼り付け場所変換!H:H,0)),"該当なし")</f>
        <v>該当なし</v>
      </c>
      <c r="F339" s="19" t="str">
        <f>IFERROR(INDEX(貼り付け場所変換!G:G,MATCH(A339&amp;B339&amp;C339&amp;D339,貼り付け場所変換!H:H,0)),"該当なし")</f>
        <v>該当なし</v>
      </c>
    </row>
    <row r="340" spans="1:6">
      <c r="A340" s="19" t="s">
        <v>49</v>
      </c>
      <c r="B340" s="19" t="s">
        <v>44</v>
      </c>
      <c r="C340" s="19">
        <v>9</v>
      </c>
      <c r="D340" s="19" t="s">
        <v>41</v>
      </c>
      <c r="E340" s="20" t="str">
        <f>IFERROR(INDEX(貼り付け場所変換!F:F,MATCH(A340&amp;B340&amp;C340&amp;D340,貼り付け場所変換!H:H,0)),"該当なし")</f>
        <v>該当なし</v>
      </c>
      <c r="F340" s="19" t="str">
        <f>IFERROR(INDEX(貼り付け場所変換!G:G,MATCH(A340&amp;B340&amp;C340&amp;D340,貼り付け場所変換!H:H,0)),"該当なし")</f>
        <v>該当なし</v>
      </c>
    </row>
    <row r="341" spans="1:6">
      <c r="A341" s="19" t="s">
        <v>49</v>
      </c>
      <c r="B341" s="19" t="s">
        <v>44</v>
      </c>
      <c r="C341" s="19">
        <v>10</v>
      </c>
      <c r="D341" s="19" t="s">
        <v>41</v>
      </c>
      <c r="E341" s="20" t="str">
        <f>IFERROR(INDEX(貼り付け場所変換!F:F,MATCH(A341&amp;B341&amp;C341&amp;D341,貼り付け場所変換!H:H,0)),"該当なし")</f>
        <v>該当なし</v>
      </c>
      <c r="F341" s="19" t="str">
        <f>IFERROR(INDEX(貼り付け場所変換!G:G,MATCH(A341&amp;B341&amp;C341&amp;D341,貼り付け場所変換!H:H,0)),"該当なし")</f>
        <v>該当なし</v>
      </c>
    </row>
    <row r="342" spans="1:6">
      <c r="A342" s="19" t="s">
        <v>49</v>
      </c>
      <c r="B342" s="19" t="s">
        <v>44</v>
      </c>
      <c r="C342" s="19">
        <v>1</v>
      </c>
      <c r="D342" s="19" t="s">
        <v>42</v>
      </c>
      <c r="E342" s="20" t="str">
        <f>IFERROR(INDEX(貼り付け場所変換!F:F,MATCH(A342&amp;B342&amp;C342&amp;D342,貼り付け場所変換!H:H,0)),"該当なし")</f>
        <v>該当なし</v>
      </c>
      <c r="F342" s="19" t="str">
        <f>IFERROR(INDEX(貼り付け場所変換!G:G,MATCH(A342&amp;B342&amp;C342&amp;D342,貼り付け場所変換!H:H,0)),"該当なし")</f>
        <v>該当なし</v>
      </c>
    </row>
    <row r="343" spans="1:6">
      <c r="A343" s="19" t="s">
        <v>49</v>
      </c>
      <c r="B343" s="19" t="s">
        <v>44</v>
      </c>
      <c r="C343" s="19">
        <v>2</v>
      </c>
      <c r="D343" s="19" t="s">
        <v>42</v>
      </c>
      <c r="E343" s="20" t="str">
        <f>IFERROR(INDEX(貼り付け場所変換!F:F,MATCH(A343&amp;B343&amp;C343&amp;D343,貼り付け場所変換!H:H,0)),"該当なし")</f>
        <v>該当なし</v>
      </c>
      <c r="F343" s="19" t="str">
        <f>IFERROR(INDEX(貼り付け場所変換!G:G,MATCH(A343&amp;B343&amp;C343&amp;D343,貼り付け場所変換!H:H,0)),"該当なし")</f>
        <v>該当なし</v>
      </c>
    </row>
    <row r="344" spans="1:6">
      <c r="A344" s="19" t="s">
        <v>49</v>
      </c>
      <c r="B344" s="19" t="s">
        <v>44</v>
      </c>
      <c r="C344" s="19">
        <v>3</v>
      </c>
      <c r="D344" s="19" t="s">
        <v>42</v>
      </c>
      <c r="E344" s="20" t="str">
        <f>IFERROR(INDEX(貼り付け場所変換!F:F,MATCH(A344&amp;B344&amp;C344&amp;D344,貼り付け場所変換!H:H,0)),"該当なし")</f>
        <v>該当なし</v>
      </c>
      <c r="F344" s="19" t="str">
        <f>IFERROR(INDEX(貼り付け場所変換!G:G,MATCH(A344&amp;B344&amp;C344&amp;D344,貼り付け場所変換!H:H,0)),"該当なし")</f>
        <v>該当なし</v>
      </c>
    </row>
    <row r="345" spans="1:6">
      <c r="A345" s="19" t="s">
        <v>49</v>
      </c>
      <c r="B345" s="19" t="s">
        <v>44</v>
      </c>
      <c r="C345" s="19">
        <v>4</v>
      </c>
      <c r="D345" s="19" t="s">
        <v>42</v>
      </c>
      <c r="E345" s="20" t="str">
        <f>IFERROR(INDEX(貼り付け場所変換!F:F,MATCH(A345&amp;B345&amp;C345&amp;D345,貼り付け場所変換!H:H,0)),"該当なし")</f>
        <v>該当なし</v>
      </c>
      <c r="F345" s="19" t="str">
        <f>IFERROR(INDEX(貼り付け場所変換!G:G,MATCH(A345&amp;B345&amp;C345&amp;D345,貼り付け場所変換!H:H,0)),"該当なし")</f>
        <v>該当なし</v>
      </c>
    </row>
    <row r="346" spans="1:6">
      <c r="A346" s="19" t="s">
        <v>49</v>
      </c>
      <c r="B346" s="19" t="s">
        <v>44</v>
      </c>
      <c r="C346" s="19">
        <v>5</v>
      </c>
      <c r="D346" s="19" t="s">
        <v>42</v>
      </c>
      <c r="E346" s="20" t="str">
        <f>IFERROR(INDEX(貼り付け場所変換!F:F,MATCH(A346&amp;B346&amp;C346&amp;D346,貼り付け場所変換!H:H,0)),"該当なし")</f>
        <v>該当なし</v>
      </c>
      <c r="F346" s="19" t="str">
        <f>IFERROR(INDEX(貼り付け場所変換!G:G,MATCH(A346&amp;B346&amp;C346&amp;D346,貼り付け場所変換!H:H,0)),"該当なし")</f>
        <v>該当なし</v>
      </c>
    </row>
    <row r="347" spans="1:6">
      <c r="A347" s="19" t="s">
        <v>49</v>
      </c>
      <c r="B347" s="19" t="s">
        <v>44</v>
      </c>
      <c r="C347" s="19">
        <v>6</v>
      </c>
      <c r="D347" s="19" t="s">
        <v>42</v>
      </c>
      <c r="E347" s="20" t="str">
        <f>IFERROR(INDEX(貼り付け場所変換!F:F,MATCH(A347&amp;B347&amp;C347&amp;D347,貼り付け場所変換!H:H,0)),"該当なし")</f>
        <v>該当なし</v>
      </c>
      <c r="F347" s="19" t="str">
        <f>IFERROR(INDEX(貼り付け場所変換!G:G,MATCH(A347&amp;B347&amp;C347&amp;D347,貼り付け場所変換!H:H,0)),"該当なし")</f>
        <v>該当なし</v>
      </c>
    </row>
    <row r="348" spans="1:6">
      <c r="A348" s="19" t="s">
        <v>49</v>
      </c>
      <c r="B348" s="19" t="s">
        <v>44</v>
      </c>
      <c r="C348" s="19">
        <v>7</v>
      </c>
      <c r="D348" s="19" t="s">
        <v>42</v>
      </c>
      <c r="E348" s="20" t="str">
        <f>IFERROR(INDEX(貼り付け場所変換!F:F,MATCH(A348&amp;B348&amp;C348&amp;D348,貼り付け場所変換!H:H,0)),"該当なし")</f>
        <v>該当なし</v>
      </c>
      <c r="F348" s="19" t="str">
        <f>IFERROR(INDEX(貼り付け場所変換!G:G,MATCH(A348&amp;B348&amp;C348&amp;D348,貼り付け場所変換!H:H,0)),"該当なし")</f>
        <v>該当なし</v>
      </c>
    </row>
    <row r="349" spans="1:6">
      <c r="A349" s="19" t="s">
        <v>49</v>
      </c>
      <c r="B349" s="19" t="s">
        <v>44</v>
      </c>
      <c r="C349" s="19">
        <v>8</v>
      </c>
      <c r="D349" s="19" t="s">
        <v>42</v>
      </c>
      <c r="E349" s="20" t="str">
        <f>IFERROR(INDEX(貼り付け場所変換!F:F,MATCH(A349&amp;B349&amp;C349&amp;D349,貼り付け場所変換!H:H,0)),"該当なし")</f>
        <v>該当なし</v>
      </c>
      <c r="F349" s="19" t="str">
        <f>IFERROR(INDEX(貼り付け場所変換!G:G,MATCH(A349&amp;B349&amp;C349&amp;D349,貼り付け場所変換!H:H,0)),"該当なし")</f>
        <v>該当なし</v>
      </c>
    </row>
    <row r="350" spans="1:6">
      <c r="A350" s="19" t="s">
        <v>49</v>
      </c>
      <c r="B350" s="19" t="s">
        <v>44</v>
      </c>
      <c r="C350" s="19">
        <v>9</v>
      </c>
      <c r="D350" s="19" t="s">
        <v>42</v>
      </c>
      <c r="E350" s="20" t="str">
        <f>IFERROR(INDEX(貼り付け場所変換!F:F,MATCH(A350&amp;B350&amp;C350&amp;D350,貼り付け場所変換!H:H,0)),"該当なし")</f>
        <v>該当なし</v>
      </c>
      <c r="F350" s="19" t="str">
        <f>IFERROR(INDEX(貼り付け場所変換!G:G,MATCH(A350&amp;B350&amp;C350&amp;D350,貼り付け場所変換!H:H,0)),"該当なし")</f>
        <v>該当なし</v>
      </c>
    </row>
    <row r="351" spans="1:6">
      <c r="A351" s="19" t="s">
        <v>49</v>
      </c>
      <c r="B351" s="19" t="s">
        <v>44</v>
      </c>
      <c r="C351" s="19">
        <v>10</v>
      </c>
      <c r="D351" s="19" t="s">
        <v>42</v>
      </c>
      <c r="E351" s="20" t="str">
        <f>IFERROR(INDEX(貼り付け場所変換!F:F,MATCH(A351&amp;B351&amp;C351&amp;D351,貼り付け場所変換!H:H,0)),"該当なし")</f>
        <v>該当なし</v>
      </c>
      <c r="F351" s="19" t="str">
        <f>IFERROR(INDEX(貼り付け場所変換!G:G,MATCH(A351&amp;B351&amp;C351&amp;D351,貼り付け場所変換!H:H,0)),"該当なし")</f>
        <v>該当なし</v>
      </c>
    </row>
    <row r="352" spans="1:6">
      <c r="A352" s="19" t="s">
        <v>49</v>
      </c>
      <c r="B352" s="19" t="s">
        <v>44</v>
      </c>
      <c r="C352" s="19">
        <v>1</v>
      </c>
      <c r="D352" s="19" t="s">
        <v>43</v>
      </c>
      <c r="E352" s="20" t="str">
        <f>IFERROR(INDEX(貼り付け場所変換!F:F,MATCH(A352&amp;B352&amp;C352&amp;D352,貼り付け場所変換!H:H,0)),"該当なし")</f>
        <v>該当なし</v>
      </c>
      <c r="F352" s="19" t="str">
        <f>IFERROR(INDEX(貼り付け場所変換!G:G,MATCH(A352&amp;B352&amp;C352&amp;D352,貼り付け場所変換!H:H,0)),"該当なし")</f>
        <v>該当なし</v>
      </c>
    </row>
    <row r="353" spans="1:6">
      <c r="A353" s="19" t="s">
        <v>49</v>
      </c>
      <c r="B353" s="19" t="s">
        <v>44</v>
      </c>
      <c r="C353" s="19">
        <v>2</v>
      </c>
      <c r="D353" s="19" t="s">
        <v>43</v>
      </c>
      <c r="E353" s="20" t="str">
        <f>IFERROR(INDEX(貼り付け場所変換!F:F,MATCH(A353&amp;B353&amp;C353&amp;D353,貼り付け場所変換!H:H,0)),"該当なし")</f>
        <v>該当なし</v>
      </c>
      <c r="F353" s="19" t="str">
        <f>IFERROR(INDEX(貼り付け場所変換!G:G,MATCH(A353&amp;B353&amp;C353&amp;D353,貼り付け場所変換!H:H,0)),"該当なし")</f>
        <v>該当なし</v>
      </c>
    </row>
    <row r="354" spans="1:6">
      <c r="A354" s="19" t="s">
        <v>49</v>
      </c>
      <c r="B354" s="19" t="s">
        <v>44</v>
      </c>
      <c r="C354" s="19">
        <v>3</v>
      </c>
      <c r="D354" s="19" t="s">
        <v>43</v>
      </c>
      <c r="E354" s="20" t="str">
        <f>IFERROR(INDEX(貼り付け場所変換!F:F,MATCH(A354&amp;B354&amp;C354&amp;D354,貼り付け場所変換!H:H,0)),"該当なし")</f>
        <v>該当なし</v>
      </c>
      <c r="F354" s="19" t="str">
        <f>IFERROR(INDEX(貼り付け場所変換!G:G,MATCH(A354&amp;B354&amp;C354&amp;D354,貼り付け場所変換!H:H,0)),"該当なし")</f>
        <v>該当なし</v>
      </c>
    </row>
    <row r="355" spans="1:6">
      <c r="A355" s="19" t="s">
        <v>49</v>
      </c>
      <c r="B355" s="19" t="s">
        <v>44</v>
      </c>
      <c r="C355" s="19">
        <v>4</v>
      </c>
      <c r="D355" s="19" t="s">
        <v>43</v>
      </c>
      <c r="E355" s="20" t="str">
        <f>IFERROR(INDEX(貼り付け場所変換!F:F,MATCH(A355&amp;B355&amp;C355&amp;D355,貼り付け場所変換!H:H,0)),"該当なし")</f>
        <v>該当なし</v>
      </c>
      <c r="F355" s="19" t="str">
        <f>IFERROR(INDEX(貼り付け場所変換!G:G,MATCH(A355&amp;B355&amp;C355&amp;D355,貼り付け場所変換!H:H,0)),"該当なし")</f>
        <v>該当なし</v>
      </c>
    </row>
    <row r="356" spans="1:6">
      <c r="A356" s="19" t="s">
        <v>49</v>
      </c>
      <c r="B356" s="19" t="s">
        <v>44</v>
      </c>
      <c r="C356" s="19">
        <v>5</v>
      </c>
      <c r="D356" s="19" t="s">
        <v>43</v>
      </c>
      <c r="E356" s="20" t="str">
        <f>IFERROR(INDEX(貼り付け場所変換!F:F,MATCH(A356&amp;B356&amp;C356&amp;D356,貼り付け場所変換!H:H,0)),"該当なし")</f>
        <v>該当なし</v>
      </c>
      <c r="F356" s="19" t="str">
        <f>IFERROR(INDEX(貼り付け場所変換!G:G,MATCH(A356&amp;B356&amp;C356&amp;D356,貼り付け場所変換!H:H,0)),"該当なし")</f>
        <v>該当なし</v>
      </c>
    </row>
    <row r="357" spans="1:6">
      <c r="A357" s="19" t="s">
        <v>49</v>
      </c>
      <c r="B357" s="19" t="s">
        <v>44</v>
      </c>
      <c r="C357" s="19">
        <v>6</v>
      </c>
      <c r="D357" s="19" t="s">
        <v>43</v>
      </c>
      <c r="E357" s="20" t="str">
        <f>IFERROR(INDEX(貼り付け場所変換!F:F,MATCH(A357&amp;B357&amp;C357&amp;D357,貼り付け場所変換!H:H,0)),"該当なし")</f>
        <v>該当なし</v>
      </c>
      <c r="F357" s="19" t="str">
        <f>IFERROR(INDEX(貼り付け場所変換!G:G,MATCH(A357&amp;B357&amp;C357&amp;D357,貼り付け場所変換!H:H,0)),"該当なし")</f>
        <v>該当なし</v>
      </c>
    </row>
    <row r="358" spans="1:6">
      <c r="A358" s="19" t="s">
        <v>49</v>
      </c>
      <c r="B358" s="19" t="s">
        <v>44</v>
      </c>
      <c r="C358" s="19">
        <v>7</v>
      </c>
      <c r="D358" s="19" t="s">
        <v>43</v>
      </c>
      <c r="E358" s="20" t="str">
        <f>IFERROR(INDEX(貼り付け場所変換!F:F,MATCH(A358&amp;B358&amp;C358&amp;D358,貼り付け場所変換!H:H,0)),"該当なし")</f>
        <v>該当なし</v>
      </c>
      <c r="F358" s="19" t="str">
        <f>IFERROR(INDEX(貼り付け場所変換!G:G,MATCH(A358&amp;B358&amp;C358&amp;D358,貼り付け場所変換!H:H,0)),"該当なし")</f>
        <v>該当なし</v>
      </c>
    </row>
    <row r="359" spans="1:6">
      <c r="A359" s="19" t="s">
        <v>49</v>
      </c>
      <c r="B359" s="19" t="s">
        <v>44</v>
      </c>
      <c r="C359" s="19">
        <v>8</v>
      </c>
      <c r="D359" s="19" t="s">
        <v>43</v>
      </c>
      <c r="E359" s="20" t="str">
        <f>IFERROR(INDEX(貼り付け場所変換!F:F,MATCH(A359&amp;B359&amp;C359&amp;D359,貼り付け場所変換!H:H,0)),"該当なし")</f>
        <v>該当なし</v>
      </c>
      <c r="F359" s="19" t="str">
        <f>IFERROR(INDEX(貼り付け場所変換!G:G,MATCH(A359&amp;B359&amp;C359&amp;D359,貼り付け場所変換!H:H,0)),"該当なし")</f>
        <v>該当なし</v>
      </c>
    </row>
    <row r="360" spans="1:6">
      <c r="A360" s="19" t="s">
        <v>49</v>
      </c>
      <c r="B360" s="19" t="s">
        <v>44</v>
      </c>
      <c r="C360" s="19">
        <v>9</v>
      </c>
      <c r="D360" s="19" t="s">
        <v>43</v>
      </c>
      <c r="E360" s="20" t="str">
        <f>IFERROR(INDEX(貼り付け場所変換!F:F,MATCH(A360&amp;B360&amp;C360&amp;D360,貼り付け場所変換!H:H,0)),"該当なし")</f>
        <v>該当なし</v>
      </c>
      <c r="F360" s="19" t="str">
        <f>IFERROR(INDEX(貼り付け場所変換!G:G,MATCH(A360&amp;B360&amp;C360&amp;D360,貼り付け場所変換!H:H,0)),"該当なし")</f>
        <v>該当なし</v>
      </c>
    </row>
    <row r="361" spans="1:6">
      <c r="A361" s="19" t="s">
        <v>49</v>
      </c>
      <c r="B361" s="19" t="s">
        <v>44</v>
      </c>
      <c r="C361" s="19">
        <v>10</v>
      </c>
      <c r="D361" s="19" t="s">
        <v>43</v>
      </c>
      <c r="E361" s="20" t="str">
        <f>IFERROR(INDEX(貼り付け場所変換!F:F,MATCH(A361&amp;B361&amp;C361&amp;D361,貼り付け場所変換!H:H,0)),"該当なし")</f>
        <v>該当なし</v>
      </c>
      <c r="F361" s="19" t="str">
        <f>IFERROR(INDEX(貼り付け場所変換!G:G,MATCH(A361&amp;B361&amp;C361&amp;D361,貼り付け場所変換!H:H,0)),"該当なし")</f>
        <v>該当なし</v>
      </c>
    </row>
    <row r="362" spans="1:6">
      <c r="A362" s="19" t="s">
        <v>49</v>
      </c>
      <c r="B362" s="19" t="s">
        <v>45</v>
      </c>
      <c r="C362" s="19">
        <v>1</v>
      </c>
      <c r="D362" s="19" t="s">
        <v>41</v>
      </c>
      <c r="E362" s="20" t="str">
        <f>IFERROR(INDEX(貼り付け場所変換!F:F,MATCH(A362&amp;B362&amp;C362&amp;D362,貼り付け場所変換!H:H,0)),"該当なし")</f>
        <v>該当なし</v>
      </c>
      <c r="F362" s="19" t="str">
        <f>IFERROR(INDEX(貼り付け場所変換!G:G,MATCH(A362&amp;B362&amp;C362&amp;D362,貼り付け場所変換!H:H,0)),"該当なし")</f>
        <v>該当なし</v>
      </c>
    </row>
    <row r="363" spans="1:6">
      <c r="A363" s="19" t="s">
        <v>49</v>
      </c>
      <c r="B363" s="19" t="s">
        <v>45</v>
      </c>
      <c r="C363" s="19">
        <v>2</v>
      </c>
      <c r="D363" s="19" t="s">
        <v>41</v>
      </c>
      <c r="E363" s="20" t="str">
        <f>IFERROR(INDEX(貼り付け場所変換!F:F,MATCH(A363&amp;B363&amp;C363&amp;D363,貼り付け場所変換!H:H,0)),"該当なし")</f>
        <v>該当なし</v>
      </c>
      <c r="F363" s="19" t="str">
        <f>IFERROR(INDEX(貼り付け場所変換!G:G,MATCH(A363&amp;B363&amp;C363&amp;D363,貼り付け場所変換!H:H,0)),"該当なし")</f>
        <v>該当なし</v>
      </c>
    </row>
    <row r="364" spans="1:6">
      <c r="A364" s="19" t="s">
        <v>49</v>
      </c>
      <c r="B364" s="19" t="s">
        <v>45</v>
      </c>
      <c r="C364" s="19">
        <v>3</v>
      </c>
      <c r="D364" s="19" t="s">
        <v>41</v>
      </c>
      <c r="E364" s="20" t="str">
        <f>IFERROR(INDEX(貼り付け場所変換!F:F,MATCH(A364&amp;B364&amp;C364&amp;D364,貼り付け場所変換!H:H,0)),"該当なし")</f>
        <v>該当なし</v>
      </c>
      <c r="F364" s="19" t="str">
        <f>IFERROR(INDEX(貼り付け場所変換!G:G,MATCH(A364&amp;B364&amp;C364&amp;D364,貼り付け場所変換!H:H,0)),"該当なし")</f>
        <v>該当なし</v>
      </c>
    </row>
    <row r="365" spans="1:6">
      <c r="A365" s="19" t="s">
        <v>49</v>
      </c>
      <c r="B365" s="19" t="s">
        <v>45</v>
      </c>
      <c r="C365" s="19">
        <v>4</v>
      </c>
      <c r="D365" s="19" t="s">
        <v>41</v>
      </c>
      <c r="E365" s="20" t="str">
        <f>IFERROR(INDEX(貼り付け場所変換!F:F,MATCH(A365&amp;B365&amp;C365&amp;D365,貼り付け場所変換!H:H,0)),"該当なし")</f>
        <v>該当なし</v>
      </c>
      <c r="F365" s="19" t="str">
        <f>IFERROR(INDEX(貼り付け場所変換!G:G,MATCH(A365&amp;B365&amp;C365&amp;D365,貼り付け場所変換!H:H,0)),"該当なし")</f>
        <v>該当なし</v>
      </c>
    </row>
    <row r="366" spans="1:6">
      <c r="A366" s="19" t="s">
        <v>49</v>
      </c>
      <c r="B366" s="19" t="s">
        <v>45</v>
      </c>
      <c r="C366" s="19">
        <v>5</v>
      </c>
      <c r="D366" s="19" t="s">
        <v>41</v>
      </c>
      <c r="E366" s="20" t="str">
        <f>IFERROR(INDEX(貼り付け場所変換!F:F,MATCH(A366&amp;B366&amp;C366&amp;D366,貼り付け場所変換!H:H,0)),"該当なし")</f>
        <v>該当なし</v>
      </c>
      <c r="F366" s="19" t="str">
        <f>IFERROR(INDEX(貼り付け場所変換!G:G,MATCH(A366&amp;B366&amp;C366&amp;D366,貼り付け場所変換!H:H,0)),"該当なし")</f>
        <v>該当なし</v>
      </c>
    </row>
    <row r="367" spans="1:6">
      <c r="A367" s="19" t="s">
        <v>49</v>
      </c>
      <c r="B367" s="19" t="s">
        <v>45</v>
      </c>
      <c r="C367" s="19">
        <v>6</v>
      </c>
      <c r="D367" s="19" t="s">
        <v>41</v>
      </c>
      <c r="E367" s="20" t="str">
        <f>IFERROR(INDEX(貼り付け場所変換!F:F,MATCH(A367&amp;B367&amp;C367&amp;D367,貼り付け場所変換!H:H,0)),"該当なし")</f>
        <v>該当なし</v>
      </c>
      <c r="F367" s="19" t="str">
        <f>IFERROR(INDEX(貼り付け場所変換!G:G,MATCH(A367&amp;B367&amp;C367&amp;D367,貼り付け場所変換!H:H,0)),"該当なし")</f>
        <v>該当なし</v>
      </c>
    </row>
    <row r="368" spans="1:6">
      <c r="A368" s="19" t="s">
        <v>49</v>
      </c>
      <c r="B368" s="19" t="s">
        <v>45</v>
      </c>
      <c r="C368" s="19">
        <v>7</v>
      </c>
      <c r="D368" s="19" t="s">
        <v>41</v>
      </c>
      <c r="E368" s="20" t="str">
        <f>IFERROR(INDEX(貼り付け場所変換!F:F,MATCH(A368&amp;B368&amp;C368&amp;D368,貼り付け場所変換!H:H,0)),"該当なし")</f>
        <v>該当なし</v>
      </c>
      <c r="F368" s="19" t="str">
        <f>IFERROR(INDEX(貼り付け場所変換!G:G,MATCH(A368&amp;B368&amp;C368&amp;D368,貼り付け場所変換!H:H,0)),"該当なし")</f>
        <v>該当なし</v>
      </c>
    </row>
    <row r="369" spans="1:6">
      <c r="A369" s="19" t="s">
        <v>49</v>
      </c>
      <c r="B369" s="19" t="s">
        <v>45</v>
      </c>
      <c r="C369" s="19">
        <v>8</v>
      </c>
      <c r="D369" s="19" t="s">
        <v>41</v>
      </c>
      <c r="E369" s="20" t="str">
        <f>IFERROR(INDEX(貼り付け場所変換!F:F,MATCH(A369&amp;B369&amp;C369&amp;D369,貼り付け場所変換!H:H,0)),"該当なし")</f>
        <v>該当なし</v>
      </c>
      <c r="F369" s="19" t="str">
        <f>IFERROR(INDEX(貼り付け場所変換!G:G,MATCH(A369&amp;B369&amp;C369&amp;D369,貼り付け場所変換!H:H,0)),"該当なし")</f>
        <v>該当なし</v>
      </c>
    </row>
    <row r="370" spans="1:6">
      <c r="A370" s="19" t="s">
        <v>49</v>
      </c>
      <c r="B370" s="19" t="s">
        <v>45</v>
      </c>
      <c r="C370" s="19">
        <v>9</v>
      </c>
      <c r="D370" s="19" t="s">
        <v>41</v>
      </c>
      <c r="E370" s="20" t="str">
        <f>IFERROR(INDEX(貼り付け場所変換!F:F,MATCH(A370&amp;B370&amp;C370&amp;D370,貼り付け場所変換!H:H,0)),"該当なし")</f>
        <v>該当なし</v>
      </c>
      <c r="F370" s="19" t="str">
        <f>IFERROR(INDEX(貼り付け場所変換!G:G,MATCH(A370&amp;B370&amp;C370&amp;D370,貼り付け場所変換!H:H,0)),"該当なし")</f>
        <v>該当なし</v>
      </c>
    </row>
    <row r="371" spans="1:6">
      <c r="A371" s="19" t="s">
        <v>49</v>
      </c>
      <c r="B371" s="19" t="s">
        <v>45</v>
      </c>
      <c r="C371" s="19">
        <v>10</v>
      </c>
      <c r="D371" s="19" t="s">
        <v>41</v>
      </c>
      <c r="E371" s="20" t="str">
        <f>IFERROR(INDEX(貼り付け場所変換!F:F,MATCH(A371&amp;B371&amp;C371&amp;D371,貼り付け場所変換!H:H,0)),"該当なし")</f>
        <v>該当なし</v>
      </c>
      <c r="F371" s="19" t="str">
        <f>IFERROR(INDEX(貼り付け場所変換!G:G,MATCH(A371&amp;B371&amp;C371&amp;D371,貼り付け場所変換!H:H,0)),"該当なし")</f>
        <v>該当なし</v>
      </c>
    </row>
    <row r="372" spans="1:6">
      <c r="A372" s="19" t="s">
        <v>49</v>
      </c>
      <c r="B372" s="19" t="s">
        <v>45</v>
      </c>
      <c r="C372" s="19">
        <v>1</v>
      </c>
      <c r="D372" s="19" t="s">
        <v>42</v>
      </c>
      <c r="E372" s="20" t="str">
        <f>IFERROR(INDEX(貼り付け場所変換!F:F,MATCH(A372&amp;B372&amp;C372&amp;D372,貼り付け場所変換!H:H,0)),"該当なし")</f>
        <v>該当なし</v>
      </c>
      <c r="F372" s="19" t="str">
        <f>IFERROR(INDEX(貼り付け場所変換!G:G,MATCH(A372&amp;B372&amp;C372&amp;D372,貼り付け場所変換!H:H,0)),"該当なし")</f>
        <v>該当なし</v>
      </c>
    </row>
    <row r="373" spans="1:6">
      <c r="A373" s="19" t="s">
        <v>49</v>
      </c>
      <c r="B373" s="19" t="s">
        <v>45</v>
      </c>
      <c r="C373" s="19">
        <v>2</v>
      </c>
      <c r="D373" s="19" t="s">
        <v>42</v>
      </c>
      <c r="E373" s="20" t="str">
        <f>IFERROR(INDEX(貼り付け場所変換!F:F,MATCH(A373&amp;B373&amp;C373&amp;D373,貼り付け場所変換!H:H,0)),"該当なし")</f>
        <v>該当なし</v>
      </c>
      <c r="F373" s="19" t="str">
        <f>IFERROR(INDEX(貼り付け場所変換!G:G,MATCH(A373&amp;B373&amp;C373&amp;D373,貼り付け場所変換!H:H,0)),"該当なし")</f>
        <v>該当なし</v>
      </c>
    </row>
    <row r="374" spans="1:6">
      <c r="A374" s="19" t="s">
        <v>49</v>
      </c>
      <c r="B374" s="19" t="s">
        <v>45</v>
      </c>
      <c r="C374" s="19">
        <v>3</v>
      </c>
      <c r="D374" s="19" t="s">
        <v>42</v>
      </c>
      <c r="E374" s="20" t="str">
        <f>IFERROR(INDEX(貼り付け場所変換!F:F,MATCH(A374&amp;B374&amp;C374&amp;D374,貼り付け場所変換!H:H,0)),"該当なし")</f>
        <v>該当なし</v>
      </c>
      <c r="F374" s="19" t="str">
        <f>IFERROR(INDEX(貼り付け場所変換!G:G,MATCH(A374&amp;B374&amp;C374&amp;D374,貼り付け場所変換!H:H,0)),"該当なし")</f>
        <v>該当なし</v>
      </c>
    </row>
    <row r="375" spans="1:6">
      <c r="A375" s="19" t="s">
        <v>49</v>
      </c>
      <c r="B375" s="19" t="s">
        <v>45</v>
      </c>
      <c r="C375" s="19">
        <v>4</v>
      </c>
      <c r="D375" s="19" t="s">
        <v>42</v>
      </c>
      <c r="E375" s="20" t="str">
        <f>IFERROR(INDEX(貼り付け場所変換!F:F,MATCH(A375&amp;B375&amp;C375&amp;D375,貼り付け場所変換!H:H,0)),"該当なし")</f>
        <v>該当なし</v>
      </c>
      <c r="F375" s="19" t="str">
        <f>IFERROR(INDEX(貼り付け場所変換!G:G,MATCH(A375&amp;B375&amp;C375&amp;D375,貼り付け場所変換!H:H,0)),"該当なし")</f>
        <v>該当なし</v>
      </c>
    </row>
    <row r="376" spans="1:6">
      <c r="A376" s="19" t="s">
        <v>49</v>
      </c>
      <c r="B376" s="19" t="s">
        <v>45</v>
      </c>
      <c r="C376" s="19">
        <v>5</v>
      </c>
      <c r="D376" s="19" t="s">
        <v>42</v>
      </c>
      <c r="E376" s="20" t="str">
        <f>IFERROR(INDEX(貼り付け場所変換!F:F,MATCH(A376&amp;B376&amp;C376&amp;D376,貼り付け場所変換!H:H,0)),"該当なし")</f>
        <v>該当なし</v>
      </c>
      <c r="F376" s="19" t="str">
        <f>IFERROR(INDEX(貼り付け場所変換!G:G,MATCH(A376&amp;B376&amp;C376&amp;D376,貼り付け場所変換!H:H,0)),"該当なし")</f>
        <v>該当なし</v>
      </c>
    </row>
    <row r="377" spans="1:6">
      <c r="A377" s="19" t="s">
        <v>49</v>
      </c>
      <c r="B377" s="19" t="s">
        <v>45</v>
      </c>
      <c r="C377" s="19">
        <v>6</v>
      </c>
      <c r="D377" s="19" t="s">
        <v>42</v>
      </c>
      <c r="E377" s="20" t="str">
        <f>IFERROR(INDEX(貼り付け場所変換!F:F,MATCH(A377&amp;B377&amp;C377&amp;D377,貼り付け場所変換!H:H,0)),"該当なし")</f>
        <v>該当なし</v>
      </c>
      <c r="F377" s="19" t="str">
        <f>IFERROR(INDEX(貼り付け場所変換!G:G,MATCH(A377&amp;B377&amp;C377&amp;D377,貼り付け場所変換!H:H,0)),"該当なし")</f>
        <v>該当なし</v>
      </c>
    </row>
    <row r="378" spans="1:6">
      <c r="A378" s="19" t="s">
        <v>49</v>
      </c>
      <c r="B378" s="19" t="s">
        <v>45</v>
      </c>
      <c r="C378" s="19">
        <v>7</v>
      </c>
      <c r="D378" s="19" t="s">
        <v>42</v>
      </c>
      <c r="E378" s="20" t="str">
        <f>IFERROR(INDEX(貼り付け場所変換!F:F,MATCH(A378&amp;B378&amp;C378&amp;D378,貼り付け場所変換!H:H,0)),"該当なし")</f>
        <v>該当なし</v>
      </c>
      <c r="F378" s="19" t="str">
        <f>IFERROR(INDEX(貼り付け場所変換!G:G,MATCH(A378&amp;B378&amp;C378&amp;D378,貼り付け場所変換!H:H,0)),"該当なし")</f>
        <v>該当なし</v>
      </c>
    </row>
    <row r="379" spans="1:6">
      <c r="A379" s="19" t="s">
        <v>49</v>
      </c>
      <c r="B379" s="19" t="s">
        <v>45</v>
      </c>
      <c r="C379" s="19">
        <v>8</v>
      </c>
      <c r="D379" s="19" t="s">
        <v>42</v>
      </c>
      <c r="E379" s="20" t="str">
        <f>IFERROR(INDEX(貼り付け場所変換!F:F,MATCH(A379&amp;B379&amp;C379&amp;D379,貼り付け場所変換!H:H,0)),"該当なし")</f>
        <v>該当なし</v>
      </c>
      <c r="F379" s="19" t="str">
        <f>IFERROR(INDEX(貼り付け場所変換!G:G,MATCH(A379&amp;B379&amp;C379&amp;D379,貼り付け場所変換!H:H,0)),"該当なし")</f>
        <v>該当なし</v>
      </c>
    </row>
    <row r="380" spans="1:6">
      <c r="A380" s="19" t="s">
        <v>49</v>
      </c>
      <c r="B380" s="19" t="s">
        <v>45</v>
      </c>
      <c r="C380" s="19">
        <v>9</v>
      </c>
      <c r="D380" s="19" t="s">
        <v>42</v>
      </c>
      <c r="E380" s="20" t="str">
        <f>IFERROR(INDEX(貼り付け場所変換!F:F,MATCH(A380&amp;B380&amp;C380&amp;D380,貼り付け場所変換!H:H,0)),"該当なし")</f>
        <v>該当なし</v>
      </c>
      <c r="F380" s="19" t="str">
        <f>IFERROR(INDEX(貼り付け場所変換!G:G,MATCH(A380&amp;B380&amp;C380&amp;D380,貼り付け場所変換!H:H,0)),"該当なし")</f>
        <v>該当なし</v>
      </c>
    </row>
    <row r="381" spans="1:6">
      <c r="A381" s="19" t="s">
        <v>49</v>
      </c>
      <c r="B381" s="19" t="s">
        <v>45</v>
      </c>
      <c r="C381" s="19">
        <v>10</v>
      </c>
      <c r="D381" s="19" t="s">
        <v>42</v>
      </c>
      <c r="E381" s="20" t="str">
        <f>IFERROR(INDEX(貼り付け場所変換!F:F,MATCH(A381&amp;B381&amp;C381&amp;D381,貼り付け場所変換!H:H,0)),"該当なし")</f>
        <v>該当なし</v>
      </c>
      <c r="F381" s="19" t="str">
        <f>IFERROR(INDEX(貼り付け場所変換!G:G,MATCH(A381&amp;B381&amp;C381&amp;D381,貼り付け場所変換!H:H,0)),"該当なし")</f>
        <v>該当なし</v>
      </c>
    </row>
    <row r="382" spans="1:6">
      <c r="A382" s="19" t="s">
        <v>49</v>
      </c>
      <c r="B382" s="19" t="s">
        <v>45</v>
      </c>
      <c r="C382" s="19">
        <v>1</v>
      </c>
      <c r="D382" s="19" t="s">
        <v>43</v>
      </c>
      <c r="E382" s="20" t="str">
        <f>IFERROR(INDEX(貼り付け場所変換!F:F,MATCH(A382&amp;B382&amp;C382&amp;D382,貼り付け場所変換!H:H,0)),"該当なし")</f>
        <v>該当なし</v>
      </c>
      <c r="F382" s="19" t="str">
        <f>IFERROR(INDEX(貼り付け場所変換!G:G,MATCH(A382&amp;B382&amp;C382&amp;D382,貼り付け場所変換!H:H,0)),"該当なし")</f>
        <v>該当なし</v>
      </c>
    </row>
    <row r="383" spans="1:6">
      <c r="A383" s="19" t="s">
        <v>49</v>
      </c>
      <c r="B383" s="19" t="s">
        <v>45</v>
      </c>
      <c r="C383" s="19">
        <v>2</v>
      </c>
      <c r="D383" s="19" t="s">
        <v>43</v>
      </c>
      <c r="E383" s="20" t="str">
        <f>IFERROR(INDEX(貼り付け場所変換!F:F,MATCH(A383&amp;B383&amp;C383&amp;D383,貼り付け場所変換!H:H,0)),"該当なし")</f>
        <v>該当なし</v>
      </c>
      <c r="F383" s="19" t="str">
        <f>IFERROR(INDEX(貼り付け場所変換!G:G,MATCH(A383&amp;B383&amp;C383&amp;D383,貼り付け場所変換!H:H,0)),"該当なし")</f>
        <v>該当なし</v>
      </c>
    </row>
    <row r="384" spans="1:6">
      <c r="A384" s="19" t="s">
        <v>49</v>
      </c>
      <c r="B384" s="19" t="s">
        <v>45</v>
      </c>
      <c r="C384" s="19">
        <v>3</v>
      </c>
      <c r="D384" s="19" t="s">
        <v>43</v>
      </c>
      <c r="E384" s="20" t="str">
        <f>IFERROR(INDEX(貼り付け場所変換!F:F,MATCH(A384&amp;B384&amp;C384&amp;D384,貼り付け場所変換!H:H,0)),"該当なし")</f>
        <v>該当なし</v>
      </c>
      <c r="F384" s="19" t="str">
        <f>IFERROR(INDEX(貼り付け場所変換!G:G,MATCH(A384&amp;B384&amp;C384&amp;D384,貼り付け場所変換!H:H,0)),"該当なし")</f>
        <v>該当なし</v>
      </c>
    </row>
    <row r="385" spans="1:6">
      <c r="A385" s="19" t="s">
        <v>49</v>
      </c>
      <c r="B385" s="19" t="s">
        <v>45</v>
      </c>
      <c r="C385" s="19">
        <v>4</v>
      </c>
      <c r="D385" s="19" t="s">
        <v>43</v>
      </c>
      <c r="E385" s="20" t="str">
        <f>IFERROR(INDEX(貼り付け場所変換!F:F,MATCH(A385&amp;B385&amp;C385&amp;D385,貼り付け場所変換!H:H,0)),"該当なし")</f>
        <v>該当なし</v>
      </c>
      <c r="F385" s="19" t="str">
        <f>IFERROR(INDEX(貼り付け場所変換!G:G,MATCH(A385&amp;B385&amp;C385&amp;D385,貼り付け場所変換!H:H,0)),"該当なし")</f>
        <v>該当なし</v>
      </c>
    </row>
    <row r="386" spans="1:6">
      <c r="A386" s="19" t="s">
        <v>49</v>
      </c>
      <c r="B386" s="19" t="s">
        <v>45</v>
      </c>
      <c r="C386" s="19">
        <v>5</v>
      </c>
      <c r="D386" s="19" t="s">
        <v>43</v>
      </c>
      <c r="E386" s="20" t="str">
        <f>IFERROR(INDEX(貼り付け場所変換!F:F,MATCH(A386&amp;B386&amp;C386&amp;D386,貼り付け場所変換!H:H,0)),"該当なし")</f>
        <v>該当なし</v>
      </c>
      <c r="F386" s="19" t="str">
        <f>IFERROR(INDEX(貼り付け場所変換!G:G,MATCH(A386&amp;B386&amp;C386&amp;D386,貼り付け場所変換!H:H,0)),"該当なし")</f>
        <v>該当なし</v>
      </c>
    </row>
    <row r="387" spans="1:6">
      <c r="A387" s="19" t="s">
        <v>49</v>
      </c>
      <c r="B387" s="19" t="s">
        <v>45</v>
      </c>
      <c r="C387" s="19">
        <v>6</v>
      </c>
      <c r="D387" s="19" t="s">
        <v>43</v>
      </c>
      <c r="E387" s="20" t="str">
        <f>IFERROR(INDEX(貼り付け場所変換!F:F,MATCH(A387&amp;B387&amp;C387&amp;D387,貼り付け場所変換!H:H,0)),"該当なし")</f>
        <v>該当なし</v>
      </c>
      <c r="F387" s="19" t="str">
        <f>IFERROR(INDEX(貼り付け場所変換!G:G,MATCH(A387&amp;B387&amp;C387&amp;D387,貼り付け場所変換!H:H,0)),"該当なし")</f>
        <v>該当なし</v>
      </c>
    </row>
    <row r="388" spans="1:6">
      <c r="A388" s="19" t="s">
        <v>49</v>
      </c>
      <c r="B388" s="19" t="s">
        <v>45</v>
      </c>
      <c r="C388" s="19">
        <v>7</v>
      </c>
      <c r="D388" s="19" t="s">
        <v>43</v>
      </c>
      <c r="E388" s="20" t="str">
        <f>IFERROR(INDEX(貼り付け場所変換!F:F,MATCH(A388&amp;B388&amp;C388&amp;D388,貼り付け場所変換!H:H,0)),"該当なし")</f>
        <v>該当なし</v>
      </c>
      <c r="F388" s="19" t="str">
        <f>IFERROR(INDEX(貼り付け場所変換!G:G,MATCH(A388&amp;B388&amp;C388&amp;D388,貼り付け場所変換!H:H,0)),"該当なし")</f>
        <v>該当なし</v>
      </c>
    </row>
    <row r="389" spans="1:6">
      <c r="A389" s="19" t="s">
        <v>49</v>
      </c>
      <c r="B389" s="19" t="s">
        <v>45</v>
      </c>
      <c r="C389" s="19">
        <v>8</v>
      </c>
      <c r="D389" s="19" t="s">
        <v>43</v>
      </c>
      <c r="E389" s="20" t="str">
        <f>IFERROR(INDEX(貼り付け場所変換!F:F,MATCH(A389&amp;B389&amp;C389&amp;D389,貼り付け場所変換!H:H,0)),"該当なし")</f>
        <v>該当なし</v>
      </c>
      <c r="F389" s="19" t="str">
        <f>IFERROR(INDEX(貼り付け場所変換!G:G,MATCH(A389&amp;B389&amp;C389&amp;D389,貼り付け場所変換!H:H,0)),"該当なし")</f>
        <v>該当なし</v>
      </c>
    </row>
    <row r="390" spans="1:6">
      <c r="A390" s="19" t="s">
        <v>49</v>
      </c>
      <c r="B390" s="19" t="s">
        <v>45</v>
      </c>
      <c r="C390" s="19">
        <v>9</v>
      </c>
      <c r="D390" s="19" t="s">
        <v>43</v>
      </c>
      <c r="E390" s="20" t="str">
        <f>IFERROR(INDEX(貼り付け場所変換!F:F,MATCH(A390&amp;B390&amp;C390&amp;D390,貼り付け場所変換!H:H,0)),"該当なし")</f>
        <v>該当なし</v>
      </c>
      <c r="F390" s="19" t="str">
        <f>IFERROR(INDEX(貼り付け場所変換!G:G,MATCH(A390&amp;B390&amp;C390&amp;D390,貼り付け場所変換!H:H,0)),"該当なし")</f>
        <v>該当なし</v>
      </c>
    </row>
    <row r="391" spans="1:6">
      <c r="A391" s="19" t="s">
        <v>49</v>
      </c>
      <c r="B391" s="19" t="s">
        <v>45</v>
      </c>
      <c r="C391" s="19">
        <v>10</v>
      </c>
      <c r="D391" s="19" t="s">
        <v>43</v>
      </c>
      <c r="E391" s="20" t="str">
        <f>IFERROR(INDEX(貼り付け場所変換!F:F,MATCH(A391&amp;B391&amp;C391&amp;D391,貼り付け場所変換!H:H,0)),"該当なし")</f>
        <v>該当なし</v>
      </c>
      <c r="F391" s="19" t="str">
        <f>IFERROR(INDEX(貼り付け場所変換!G:G,MATCH(A391&amp;B391&amp;C391&amp;D391,貼り付け場所変換!H:H,0)),"該当なし")</f>
        <v>該当なし</v>
      </c>
    </row>
    <row r="392" spans="1:6">
      <c r="A392" s="19" t="s">
        <v>49</v>
      </c>
      <c r="B392" s="19" t="s">
        <v>46</v>
      </c>
      <c r="C392" s="19">
        <v>1</v>
      </c>
      <c r="D392" s="19" t="s">
        <v>41</v>
      </c>
      <c r="E392" s="20" t="str">
        <f>IFERROR(INDEX(貼り付け場所変換!F:F,MATCH(A392&amp;B392&amp;C392&amp;D392,貼り付け場所変換!H:H,0)),"該当なし")</f>
        <v>該当なし</v>
      </c>
      <c r="F392" s="19" t="str">
        <f>IFERROR(INDEX(貼り付け場所変換!G:G,MATCH(A392&amp;B392&amp;C392&amp;D392,貼り付け場所変換!H:H,0)),"該当なし")</f>
        <v>該当なし</v>
      </c>
    </row>
    <row r="393" spans="1:6">
      <c r="A393" s="19" t="s">
        <v>49</v>
      </c>
      <c r="B393" s="19" t="s">
        <v>46</v>
      </c>
      <c r="C393" s="19">
        <v>2</v>
      </c>
      <c r="D393" s="19" t="s">
        <v>41</v>
      </c>
      <c r="E393" s="20" t="str">
        <f>IFERROR(INDEX(貼り付け場所変換!F:F,MATCH(A393&amp;B393&amp;C393&amp;D393,貼り付け場所変換!H:H,0)),"該当なし")</f>
        <v>該当なし</v>
      </c>
      <c r="F393" s="19" t="str">
        <f>IFERROR(INDEX(貼り付け場所変換!G:G,MATCH(A393&amp;B393&amp;C393&amp;D393,貼り付け場所変換!H:H,0)),"該当なし")</f>
        <v>該当なし</v>
      </c>
    </row>
    <row r="394" spans="1:6">
      <c r="A394" s="19" t="s">
        <v>49</v>
      </c>
      <c r="B394" s="19" t="s">
        <v>46</v>
      </c>
      <c r="C394" s="19">
        <v>3</v>
      </c>
      <c r="D394" s="19" t="s">
        <v>41</v>
      </c>
      <c r="E394" s="20" t="str">
        <f>IFERROR(INDEX(貼り付け場所変換!F:F,MATCH(A394&amp;B394&amp;C394&amp;D394,貼り付け場所変換!H:H,0)),"該当なし")</f>
        <v>該当なし</v>
      </c>
      <c r="F394" s="19" t="str">
        <f>IFERROR(INDEX(貼り付け場所変換!G:G,MATCH(A394&amp;B394&amp;C394&amp;D394,貼り付け場所変換!H:H,0)),"該当なし")</f>
        <v>該当なし</v>
      </c>
    </row>
    <row r="395" spans="1:6">
      <c r="A395" s="19" t="s">
        <v>49</v>
      </c>
      <c r="B395" s="19" t="s">
        <v>46</v>
      </c>
      <c r="C395" s="19">
        <v>4</v>
      </c>
      <c r="D395" s="19" t="s">
        <v>41</v>
      </c>
      <c r="E395" s="20" t="str">
        <f>IFERROR(INDEX(貼り付け場所変換!F:F,MATCH(A395&amp;B395&amp;C395&amp;D395,貼り付け場所変換!H:H,0)),"該当なし")</f>
        <v>該当なし</v>
      </c>
      <c r="F395" s="19" t="str">
        <f>IFERROR(INDEX(貼り付け場所変換!G:G,MATCH(A395&amp;B395&amp;C395&amp;D395,貼り付け場所変換!H:H,0)),"該当なし")</f>
        <v>該当なし</v>
      </c>
    </row>
    <row r="396" spans="1:6">
      <c r="A396" s="19" t="s">
        <v>49</v>
      </c>
      <c r="B396" s="19" t="s">
        <v>46</v>
      </c>
      <c r="C396" s="19">
        <v>5</v>
      </c>
      <c r="D396" s="19" t="s">
        <v>41</v>
      </c>
      <c r="E396" s="20" t="str">
        <f>IFERROR(INDEX(貼り付け場所変換!F:F,MATCH(A396&amp;B396&amp;C396&amp;D396,貼り付け場所変換!H:H,0)),"該当なし")</f>
        <v>該当なし</v>
      </c>
      <c r="F396" s="19" t="str">
        <f>IFERROR(INDEX(貼り付け場所変換!G:G,MATCH(A396&amp;B396&amp;C396&amp;D396,貼り付け場所変換!H:H,0)),"該当なし")</f>
        <v>該当なし</v>
      </c>
    </row>
    <row r="397" spans="1:6">
      <c r="A397" s="19" t="s">
        <v>49</v>
      </c>
      <c r="B397" s="19" t="s">
        <v>46</v>
      </c>
      <c r="C397" s="19">
        <v>6</v>
      </c>
      <c r="D397" s="19" t="s">
        <v>41</v>
      </c>
      <c r="E397" s="20" t="str">
        <f>IFERROR(INDEX(貼り付け場所変換!F:F,MATCH(A397&amp;B397&amp;C397&amp;D397,貼り付け場所変換!H:H,0)),"該当なし")</f>
        <v>該当なし</v>
      </c>
      <c r="F397" s="19" t="str">
        <f>IFERROR(INDEX(貼り付け場所変換!G:G,MATCH(A397&amp;B397&amp;C397&amp;D397,貼り付け場所変換!H:H,0)),"該当なし")</f>
        <v>該当なし</v>
      </c>
    </row>
    <row r="398" spans="1:6">
      <c r="A398" s="19" t="s">
        <v>49</v>
      </c>
      <c r="B398" s="19" t="s">
        <v>46</v>
      </c>
      <c r="C398" s="19">
        <v>7</v>
      </c>
      <c r="D398" s="19" t="s">
        <v>41</v>
      </c>
      <c r="E398" s="20" t="str">
        <f>IFERROR(INDEX(貼り付け場所変換!F:F,MATCH(A398&amp;B398&amp;C398&amp;D398,貼り付け場所変換!H:H,0)),"該当なし")</f>
        <v>該当なし</v>
      </c>
      <c r="F398" s="19" t="str">
        <f>IFERROR(INDEX(貼り付け場所変換!G:G,MATCH(A398&amp;B398&amp;C398&amp;D398,貼り付け場所変換!H:H,0)),"該当なし")</f>
        <v>該当なし</v>
      </c>
    </row>
    <row r="399" spans="1:6">
      <c r="A399" s="19" t="s">
        <v>49</v>
      </c>
      <c r="B399" s="19" t="s">
        <v>46</v>
      </c>
      <c r="C399" s="19">
        <v>8</v>
      </c>
      <c r="D399" s="19" t="s">
        <v>41</v>
      </c>
      <c r="E399" s="20" t="str">
        <f>IFERROR(INDEX(貼り付け場所変換!F:F,MATCH(A399&amp;B399&amp;C399&amp;D399,貼り付け場所変換!H:H,0)),"該当なし")</f>
        <v>該当なし</v>
      </c>
      <c r="F399" s="19" t="str">
        <f>IFERROR(INDEX(貼り付け場所変換!G:G,MATCH(A399&amp;B399&amp;C399&amp;D399,貼り付け場所変換!H:H,0)),"該当なし")</f>
        <v>該当なし</v>
      </c>
    </row>
    <row r="400" spans="1:6">
      <c r="A400" s="19" t="s">
        <v>49</v>
      </c>
      <c r="B400" s="19" t="s">
        <v>46</v>
      </c>
      <c r="C400" s="19">
        <v>9</v>
      </c>
      <c r="D400" s="19" t="s">
        <v>41</v>
      </c>
      <c r="E400" s="20" t="str">
        <f>IFERROR(INDEX(貼り付け場所変換!F:F,MATCH(A400&amp;B400&amp;C400&amp;D400,貼り付け場所変換!H:H,0)),"該当なし")</f>
        <v>該当なし</v>
      </c>
      <c r="F400" s="19" t="str">
        <f>IFERROR(INDEX(貼り付け場所変換!G:G,MATCH(A400&amp;B400&amp;C400&amp;D400,貼り付け場所変換!H:H,0)),"該当なし")</f>
        <v>該当なし</v>
      </c>
    </row>
    <row r="401" spans="1:6">
      <c r="A401" s="19" t="s">
        <v>49</v>
      </c>
      <c r="B401" s="19" t="s">
        <v>46</v>
      </c>
      <c r="C401" s="19">
        <v>10</v>
      </c>
      <c r="D401" s="19" t="s">
        <v>41</v>
      </c>
      <c r="E401" s="20" t="str">
        <f>IFERROR(INDEX(貼り付け場所変換!F:F,MATCH(A401&amp;B401&amp;C401&amp;D401,貼り付け場所変換!H:H,0)),"該当なし")</f>
        <v>該当なし</v>
      </c>
      <c r="F401" s="19" t="str">
        <f>IFERROR(INDEX(貼り付け場所変換!G:G,MATCH(A401&amp;B401&amp;C401&amp;D401,貼り付け場所変換!H:H,0)),"該当なし")</f>
        <v>該当なし</v>
      </c>
    </row>
    <row r="402" spans="1:6">
      <c r="A402" s="19" t="s">
        <v>49</v>
      </c>
      <c r="B402" s="19" t="s">
        <v>46</v>
      </c>
      <c r="C402" s="19">
        <v>1</v>
      </c>
      <c r="D402" s="19" t="s">
        <v>42</v>
      </c>
      <c r="E402" s="20" t="str">
        <f>IFERROR(INDEX(貼り付け場所変換!F:F,MATCH(A402&amp;B402&amp;C402&amp;D402,貼り付け場所変換!H:H,0)),"該当なし")</f>
        <v>該当なし</v>
      </c>
      <c r="F402" s="19" t="str">
        <f>IFERROR(INDEX(貼り付け場所変換!G:G,MATCH(A402&amp;B402&amp;C402&amp;D402,貼り付け場所変換!H:H,0)),"該当なし")</f>
        <v>該当なし</v>
      </c>
    </row>
    <row r="403" spans="1:6">
      <c r="A403" s="19" t="s">
        <v>49</v>
      </c>
      <c r="B403" s="19" t="s">
        <v>46</v>
      </c>
      <c r="C403" s="19">
        <v>2</v>
      </c>
      <c r="D403" s="19" t="s">
        <v>42</v>
      </c>
      <c r="E403" s="20" t="str">
        <f>IFERROR(INDEX(貼り付け場所変換!F:F,MATCH(A403&amp;B403&amp;C403&amp;D403,貼り付け場所変換!H:H,0)),"該当なし")</f>
        <v>該当なし</v>
      </c>
      <c r="F403" s="19" t="str">
        <f>IFERROR(INDEX(貼り付け場所変換!G:G,MATCH(A403&amp;B403&amp;C403&amp;D403,貼り付け場所変換!H:H,0)),"該当なし")</f>
        <v>該当なし</v>
      </c>
    </row>
    <row r="404" spans="1:6">
      <c r="A404" s="19" t="s">
        <v>49</v>
      </c>
      <c r="B404" s="19" t="s">
        <v>46</v>
      </c>
      <c r="C404" s="19">
        <v>3</v>
      </c>
      <c r="D404" s="19" t="s">
        <v>42</v>
      </c>
      <c r="E404" s="20" t="str">
        <f>IFERROR(INDEX(貼り付け場所変換!F:F,MATCH(A404&amp;B404&amp;C404&amp;D404,貼り付け場所変換!H:H,0)),"該当なし")</f>
        <v>該当なし</v>
      </c>
      <c r="F404" s="19" t="str">
        <f>IFERROR(INDEX(貼り付け場所変換!G:G,MATCH(A404&amp;B404&amp;C404&amp;D404,貼り付け場所変換!H:H,0)),"該当なし")</f>
        <v>該当なし</v>
      </c>
    </row>
    <row r="405" spans="1:6">
      <c r="A405" s="19" t="s">
        <v>49</v>
      </c>
      <c r="B405" s="19" t="s">
        <v>46</v>
      </c>
      <c r="C405" s="19">
        <v>4</v>
      </c>
      <c r="D405" s="19" t="s">
        <v>42</v>
      </c>
      <c r="E405" s="20" t="str">
        <f>IFERROR(INDEX(貼り付け場所変換!F:F,MATCH(A405&amp;B405&amp;C405&amp;D405,貼り付け場所変換!H:H,0)),"該当なし")</f>
        <v>該当なし</v>
      </c>
      <c r="F405" s="19" t="str">
        <f>IFERROR(INDEX(貼り付け場所変換!G:G,MATCH(A405&amp;B405&amp;C405&amp;D405,貼り付け場所変換!H:H,0)),"該当なし")</f>
        <v>該当なし</v>
      </c>
    </row>
    <row r="406" spans="1:6">
      <c r="A406" s="19" t="s">
        <v>49</v>
      </c>
      <c r="B406" s="19" t="s">
        <v>46</v>
      </c>
      <c r="C406" s="19">
        <v>5</v>
      </c>
      <c r="D406" s="19" t="s">
        <v>42</v>
      </c>
      <c r="E406" s="20" t="str">
        <f>IFERROR(INDEX(貼り付け場所変換!F:F,MATCH(A406&amp;B406&amp;C406&amp;D406,貼り付け場所変換!H:H,0)),"該当なし")</f>
        <v>該当なし</v>
      </c>
      <c r="F406" s="19" t="str">
        <f>IFERROR(INDEX(貼り付け場所変換!G:G,MATCH(A406&amp;B406&amp;C406&amp;D406,貼り付け場所変換!H:H,0)),"該当なし")</f>
        <v>該当なし</v>
      </c>
    </row>
    <row r="407" spans="1:6">
      <c r="A407" s="19" t="s">
        <v>49</v>
      </c>
      <c r="B407" s="19" t="s">
        <v>46</v>
      </c>
      <c r="C407" s="19">
        <v>6</v>
      </c>
      <c r="D407" s="19" t="s">
        <v>42</v>
      </c>
      <c r="E407" s="20" t="str">
        <f>IFERROR(INDEX(貼り付け場所変換!F:F,MATCH(A407&amp;B407&amp;C407&amp;D407,貼り付け場所変換!H:H,0)),"該当なし")</f>
        <v>該当なし</v>
      </c>
      <c r="F407" s="19" t="str">
        <f>IFERROR(INDEX(貼り付け場所変換!G:G,MATCH(A407&amp;B407&amp;C407&amp;D407,貼り付け場所変換!H:H,0)),"該当なし")</f>
        <v>該当なし</v>
      </c>
    </row>
    <row r="408" spans="1:6">
      <c r="A408" s="19" t="s">
        <v>49</v>
      </c>
      <c r="B408" s="19" t="s">
        <v>46</v>
      </c>
      <c r="C408" s="19">
        <v>7</v>
      </c>
      <c r="D408" s="19" t="s">
        <v>42</v>
      </c>
      <c r="E408" s="20" t="str">
        <f>IFERROR(INDEX(貼り付け場所変換!F:F,MATCH(A408&amp;B408&amp;C408&amp;D408,貼り付け場所変換!H:H,0)),"該当なし")</f>
        <v>該当なし</v>
      </c>
      <c r="F408" s="19" t="str">
        <f>IFERROR(INDEX(貼り付け場所変換!G:G,MATCH(A408&amp;B408&amp;C408&amp;D408,貼り付け場所変換!H:H,0)),"該当なし")</f>
        <v>該当なし</v>
      </c>
    </row>
    <row r="409" spans="1:6">
      <c r="A409" s="19" t="s">
        <v>49</v>
      </c>
      <c r="B409" s="19" t="s">
        <v>46</v>
      </c>
      <c r="C409" s="19">
        <v>8</v>
      </c>
      <c r="D409" s="19" t="s">
        <v>42</v>
      </c>
      <c r="E409" s="20" t="str">
        <f>IFERROR(INDEX(貼り付け場所変換!F:F,MATCH(A409&amp;B409&amp;C409&amp;D409,貼り付け場所変換!H:H,0)),"該当なし")</f>
        <v>該当なし</v>
      </c>
      <c r="F409" s="19" t="str">
        <f>IFERROR(INDEX(貼り付け場所変換!G:G,MATCH(A409&amp;B409&amp;C409&amp;D409,貼り付け場所変換!H:H,0)),"該当なし")</f>
        <v>該当なし</v>
      </c>
    </row>
    <row r="410" spans="1:6">
      <c r="A410" s="19" t="s">
        <v>49</v>
      </c>
      <c r="B410" s="19" t="s">
        <v>46</v>
      </c>
      <c r="C410" s="19">
        <v>9</v>
      </c>
      <c r="D410" s="19" t="s">
        <v>42</v>
      </c>
      <c r="E410" s="20" t="str">
        <f>IFERROR(INDEX(貼り付け場所変換!F:F,MATCH(A410&amp;B410&amp;C410&amp;D410,貼り付け場所変換!H:H,0)),"該当なし")</f>
        <v>該当なし</v>
      </c>
      <c r="F410" s="19" t="str">
        <f>IFERROR(INDEX(貼り付け場所変換!G:G,MATCH(A410&amp;B410&amp;C410&amp;D410,貼り付け場所変換!H:H,0)),"該当なし")</f>
        <v>該当なし</v>
      </c>
    </row>
    <row r="411" spans="1:6">
      <c r="A411" s="19" t="s">
        <v>49</v>
      </c>
      <c r="B411" s="19" t="s">
        <v>46</v>
      </c>
      <c r="C411" s="19">
        <v>10</v>
      </c>
      <c r="D411" s="19" t="s">
        <v>42</v>
      </c>
      <c r="E411" s="20" t="str">
        <f>IFERROR(INDEX(貼り付け場所変換!F:F,MATCH(A411&amp;B411&amp;C411&amp;D411,貼り付け場所変換!H:H,0)),"該当なし")</f>
        <v>該当なし</v>
      </c>
      <c r="F411" s="19" t="str">
        <f>IFERROR(INDEX(貼り付け場所変換!G:G,MATCH(A411&amp;B411&amp;C411&amp;D411,貼り付け場所変換!H:H,0)),"該当なし")</f>
        <v>該当なし</v>
      </c>
    </row>
    <row r="412" spans="1:6">
      <c r="A412" s="19" t="s">
        <v>49</v>
      </c>
      <c r="B412" s="19" t="s">
        <v>46</v>
      </c>
      <c r="C412" s="19">
        <v>1</v>
      </c>
      <c r="D412" s="19" t="s">
        <v>43</v>
      </c>
      <c r="E412" s="20" t="str">
        <f>IFERROR(INDEX(貼り付け場所変換!F:F,MATCH(A412&amp;B412&amp;C412&amp;D412,貼り付け場所変換!H:H,0)),"該当なし")</f>
        <v>該当なし</v>
      </c>
      <c r="F412" s="19" t="str">
        <f>IFERROR(INDEX(貼り付け場所変換!G:G,MATCH(A412&amp;B412&amp;C412&amp;D412,貼り付け場所変換!H:H,0)),"該当なし")</f>
        <v>該当なし</v>
      </c>
    </row>
    <row r="413" spans="1:6">
      <c r="A413" s="19" t="s">
        <v>49</v>
      </c>
      <c r="B413" s="19" t="s">
        <v>46</v>
      </c>
      <c r="C413" s="19">
        <v>2</v>
      </c>
      <c r="D413" s="19" t="s">
        <v>43</v>
      </c>
      <c r="E413" s="20" t="str">
        <f>IFERROR(INDEX(貼り付け場所変換!F:F,MATCH(A413&amp;B413&amp;C413&amp;D413,貼り付け場所変換!H:H,0)),"該当なし")</f>
        <v>該当なし</v>
      </c>
      <c r="F413" s="19" t="str">
        <f>IFERROR(INDEX(貼り付け場所変換!G:G,MATCH(A413&amp;B413&amp;C413&amp;D413,貼り付け場所変換!H:H,0)),"該当なし")</f>
        <v>該当なし</v>
      </c>
    </row>
    <row r="414" spans="1:6">
      <c r="A414" s="19" t="s">
        <v>49</v>
      </c>
      <c r="B414" s="19" t="s">
        <v>46</v>
      </c>
      <c r="C414" s="19">
        <v>3</v>
      </c>
      <c r="D414" s="19" t="s">
        <v>43</v>
      </c>
      <c r="E414" s="20" t="str">
        <f>IFERROR(INDEX(貼り付け場所変換!F:F,MATCH(A414&amp;B414&amp;C414&amp;D414,貼り付け場所変換!H:H,0)),"該当なし")</f>
        <v>該当なし</v>
      </c>
      <c r="F414" s="19" t="str">
        <f>IFERROR(INDEX(貼り付け場所変換!G:G,MATCH(A414&amp;B414&amp;C414&amp;D414,貼り付け場所変換!H:H,0)),"該当なし")</f>
        <v>該当なし</v>
      </c>
    </row>
    <row r="415" spans="1:6">
      <c r="A415" s="19" t="s">
        <v>49</v>
      </c>
      <c r="B415" s="19" t="s">
        <v>46</v>
      </c>
      <c r="C415" s="19">
        <v>4</v>
      </c>
      <c r="D415" s="19" t="s">
        <v>43</v>
      </c>
      <c r="E415" s="20" t="str">
        <f>IFERROR(INDEX(貼り付け場所変換!F:F,MATCH(A415&amp;B415&amp;C415&amp;D415,貼り付け場所変換!H:H,0)),"該当なし")</f>
        <v>該当なし</v>
      </c>
      <c r="F415" s="19" t="str">
        <f>IFERROR(INDEX(貼り付け場所変換!G:G,MATCH(A415&amp;B415&amp;C415&amp;D415,貼り付け場所変換!H:H,0)),"該当なし")</f>
        <v>該当なし</v>
      </c>
    </row>
    <row r="416" spans="1:6">
      <c r="A416" s="19" t="s">
        <v>49</v>
      </c>
      <c r="B416" s="19" t="s">
        <v>46</v>
      </c>
      <c r="C416" s="19">
        <v>5</v>
      </c>
      <c r="D416" s="19" t="s">
        <v>43</v>
      </c>
      <c r="E416" s="20" t="str">
        <f>IFERROR(INDEX(貼り付け場所変換!F:F,MATCH(A416&amp;B416&amp;C416&amp;D416,貼り付け場所変換!H:H,0)),"該当なし")</f>
        <v>該当なし</v>
      </c>
      <c r="F416" s="19" t="str">
        <f>IFERROR(INDEX(貼り付け場所変換!G:G,MATCH(A416&amp;B416&amp;C416&amp;D416,貼り付け場所変換!H:H,0)),"該当なし")</f>
        <v>該当なし</v>
      </c>
    </row>
    <row r="417" spans="1:6">
      <c r="A417" s="19" t="s">
        <v>49</v>
      </c>
      <c r="B417" s="19" t="s">
        <v>46</v>
      </c>
      <c r="C417" s="19">
        <v>6</v>
      </c>
      <c r="D417" s="19" t="s">
        <v>43</v>
      </c>
      <c r="E417" s="20" t="str">
        <f>IFERROR(INDEX(貼り付け場所変換!F:F,MATCH(A417&amp;B417&amp;C417&amp;D417,貼り付け場所変換!H:H,0)),"該当なし")</f>
        <v>該当なし</v>
      </c>
      <c r="F417" s="19" t="str">
        <f>IFERROR(INDEX(貼り付け場所変換!G:G,MATCH(A417&amp;B417&amp;C417&amp;D417,貼り付け場所変換!H:H,0)),"該当なし")</f>
        <v>該当なし</v>
      </c>
    </row>
    <row r="418" spans="1:6">
      <c r="A418" s="19" t="s">
        <v>49</v>
      </c>
      <c r="B418" s="19" t="s">
        <v>46</v>
      </c>
      <c r="C418" s="19">
        <v>7</v>
      </c>
      <c r="D418" s="19" t="s">
        <v>43</v>
      </c>
      <c r="E418" s="20" t="str">
        <f>IFERROR(INDEX(貼り付け場所変換!F:F,MATCH(A418&amp;B418&amp;C418&amp;D418,貼り付け場所変換!H:H,0)),"該当なし")</f>
        <v>該当なし</v>
      </c>
      <c r="F418" s="19" t="str">
        <f>IFERROR(INDEX(貼り付け場所変換!G:G,MATCH(A418&amp;B418&amp;C418&amp;D418,貼り付け場所変換!H:H,0)),"該当なし")</f>
        <v>該当なし</v>
      </c>
    </row>
    <row r="419" spans="1:6">
      <c r="A419" s="19" t="s">
        <v>49</v>
      </c>
      <c r="B419" s="19" t="s">
        <v>46</v>
      </c>
      <c r="C419" s="19">
        <v>8</v>
      </c>
      <c r="D419" s="19" t="s">
        <v>43</v>
      </c>
      <c r="E419" s="20" t="str">
        <f>IFERROR(INDEX(貼り付け場所変換!F:F,MATCH(A419&amp;B419&amp;C419&amp;D419,貼り付け場所変換!H:H,0)),"該当なし")</f>
        <v>該当なし</v>
      </c>
      <c r="F419" s="19" t="str">
        <f>IFERROR(INDEX(貼り付け場所変換!G:G,MATCH(A419&amp;B419&amp;C419&amp;D419,貼り付け場所変換!H:H,0)),"該当なし")</f>
        <v>該当なし</v>
      </c>
    </row>
    <row r="420" spans="1:6">
      <c r="A420" s="19" t="s">
        <v>49</v>
      </c>
      <c r="B420" s="19" t="s">
        <v>46</v>
      </c>
      <c r="C420" s="19">
        <v>9</v>
      </c>
      <c r="D420" s="19" t="s">
        <v>43</v>
      </c>
      <c r="E420" s="20" t="str">
        <f>IFERROR(INDEX(貼り付け場所変換!F:F,MATCH(A420&amp;B420&amp;C420&amp;D420,貼り付け場所変換!H:H,0)),"該当なし")</f>
        <v>該当なし</v>
      </c>
      <c r="F420" s="19" t="str">
        <f>IFERROR(INDEX(貼り付け場所変換!G:G,MATCH(A420&amp;B420&amp;C420&amp;D420,貼り付け場所変換!H:H,0)),"該当なし")</f>
        <v>該当なし</v>
      </c>
    </row>
    <row r="421" spans="1:6">
      <c r="A421" s="19" t="s">
        <v>49</v>
      </c>
      <c r="B421" s="19" t="s">
        <v>46</v>
      </c>
      <c r="C421" s="19">
        <v>10</v>
      </c>
      <c r="D421" s="19" t="s">
        <v>43</v>
      </c>
      <c r="E421" s="20" t="str">
        <f>IFERROR(INDEX(貼り付け場所変換!F:F,MATCH(A421&amp;B421&amp;C421&amp;D421,貼り付け場所変換!H:H,0)),"該当なし")</f>
        <v>該当なし</v>
      </c>
      <c r="F421" s="19" t="str">
        <f>IFERROR(INDEX(貼り付け場所変換!G:G,MATCH(A421&amp;B421&amp;C421&amp;D421,貼り付け場所変換!H:H,0)),"該当なし")</f>
        <v>該当なし</v>
      </c>
    </row>
    <row r="422" spans="1:6">
      <c r="A422" s="19" t="s">
        <v>49</v>
      </c>
      <c r="B422" s="19" t="s">
        <v>47</v>
      </c>
      <c r="C422" s="19">
        <v>1</v>
      </c>
      <c r="D422" s="19" t="s">
        <v>41</v>
      </c>
      <c r="E422" s="20" t="str">
        <f>IFERROR(INDEX(貼り付け場所変換!F:F,MATCH(A422&amp;B422&amp;C422&amp;D422,貼り付け場所変換!H:H,0)),"該当なし")</f>
        <v>該当なし</v>
      </c>
      <c r="F422" s="19" t="str">
        <f>IFERROR(INDEX(貼り付け場所変換!G:G,MATCH(A422&amp;B422&amp;C422&amp;D422,貼り付け場所変換!H:H,0)),"該当なし")</f>
        <v>該当なし</v>
      </c>
    </row>
    <row r="423" spans="1:6">
      <c r="A423" s="19" t="s">
        <v>49</v>
      </c>
      <c r="B423" s="19" t="s">
        <v>47</v>
      </c>
      <c r="C423" s="19">
        <v>2</v>
      </c>
      <c r="D423" s="19" t="s">
        <v>41</v>
      </c>
      <c r="E423" s="20" t="str">
        <f>IFERROR(INDEX(貼り付け場所変換!F:F,MATCH(A423&amp;B423&amp;C423&amp;D423,貼り付け場所変換!H:H,0)),"該当なし")</f>
        <v>該当なし</v>
      </c>
      <c r="F423" s="19" t="str">
        <f>IFERROR(INDEX(貼り付け場所変換!G:G,MATCH(A423&amp;B423&amp;C423&amp;D423,貼り付け場所変換!H:H,0)),"該当なし")</f>
        <v>該当なし</v>
      </c>
    </row>
    <row r="424" spans="1:6">
      <c r="A424" s="19" t="s">
        <v>49</v>
      </c>
      <c r="B424" s="19" t="s">
        <v>47</v>
      </c>
      <c r="C424" s="19">
        <v>3</v>
      </c>
      <c r="D424" s="19" t="s">
        <v>41</v>
      </c>
      <c r="E424" s="20" t="str">
        <f>IFERROR(INDEX(貼り付け場所変換!F:F,MATCH(A424&amp;B424&amp;C424&amp;D424,貼り付け場所変換!H:H,0)),"該当なし")</f>
        <v>該当なし</v>
      </c>
      <c r="F424" s="19" t="str">
        <f>IFERROR(INDEX(貼り付け場所変換!G:G,MATCH(A424&amp;B424&amp;C424&amp;D424,貼り付け場所変換!H:H,0)),"該当なし")</f>
        <v>該当なし</v>
      </c>
    </row>
    <row r="425" spans="1:6">
      <c r="A425" s="19" t="s">
        <v>49</v>
      </c>
      <c r="B425" s="19" t="s">
        <v>47</v>
      </c>
      <c r="C425" s="19">
        <v>4</v>
      </c>
      <c r="D425" s="19" t="s">
        <v>41</v>
      </c>
      <c r="E425" s="20" t="str">
        <f>IFERROR(INDEX(貼り付け場所変換!F:F,MATCH(A425&amp;B425&amp;C425&amp;D425,貼り付け場所変換!H:H,0)),"該当なし")</f>
        <v>該当なし</v>
      </c>
      <c r="F425" s="19" t="str">
        <f>IFERROR(INDEX(貼り付け場所変換!G:G,MATCH(A425&amp;B425&amp;C425&amp;D425,貼り付け場所変換!H:H,0)),"該当なし")</f>
        <v>該当なし</v>
      </c>
    </row>
    <row r="426" spans="1:6">
      <c r="A426" s="19" t="s">
        <v>49</v>
      </c>
      <c r="B426" s="19" t="s">
        <v>47</v>
      </c>
      <c r="C426" s="19">
        <v>5</v>
      </c>
      <c r="D426" s="19" t="s">
        <v>41</v>
      </c>
      <c r="E426" s="20" t="str">
        <f>IFERROR(INDEX(貼り付け場所変換!F:F,MATCH(A426&amp;B426&amp;C426&amp;D426,貼り付け場所変換!H:H,0)),"該当なし")</f>
        <v>該当なし</v>
      </c>
      <c r="F426" s="19" t="str">
        <f>IFERROR(INDEX(貼り付け場所変換!G:G,MATCH(A426&amp;B426&amp;C426&amp;D426,貼り付け場所変換!H:H,0)),"該当なし")</f>
        <v>該当なし</v>
      </c>
    </row>
    <row r="427" spans="1:6">
      <c r="A427" s="19" t="s">
        <v>49</v>
      </c>
      <c r="B427" s="19" t="s">
        <v>47</v>
      </c>
      <c r="C427" s="19">
        <v>6</v>
      </c>
      <c r="D427" s="19" t="s">
        <v>41</v>
      </c>
      <c r="E427" s="20" t="str">
        <f>IFERROR(INDEX(貼り付け場所変換!F:F,MATCH(A427&amp;B427&amp;C427&amp;D427,貼り付け場所変換!H:H,0)),"該当なし")</f>
        <v>該当なし</v>
      </c>
      <c r="F427" s="19" t="str">
        <f>IFERROR(INDEX(貼り付け場所変換!G:G,MATCH(A427&amp;B427&amp;C427&amp;D427,貼り付け場所変換!H:H,0)),"該当なし")</f>
        <v>該当なし</v>
      </c>
    </row>
    <row r="428" spans="1:6">
      <c r="A428" s="19" t="s">
        <v>49</v>
      </c>
      <c r="B428" s="19" t="s">
        <v>47</v>
      </c>
      <c r="C428" s="19">
        <v>7</v>
      </c>
      <c r="D428" s="19" t="s">
        <v>41</v>
      </c>
      <c r="E428" s="20" t="str">
        <f>IFERROR(INDEX(貼り付け場所変換!F:F,MATCH(A428&amp;B428&amp;C428&amp;D428,貼り付け場所変換!H:H,0)),"該当なし")</f>
        <v>該当なし</v>
      </c>
      <c r="F428" s="19" t="str">
        <f>IFERROR(INDEX(貼り付け場所変換!G:G,MATCH(A428&amp;B428&amp;C428&amp;D428,貼り付け場所変換!H:H,0)),"該当なし")</f>
        <v>該当なし</v>
      </c>
    </row>
    <row r="429" spans="1:6">
      <c r="A429" s="19" t="s">
        <v>49</v>
      </c>
      <c r="B429" s="19" t="s">
        <v>47</v>
      </c>
      <c r="C429" s="19">
        <v>8</v>
      </c>
      <c r="D429" s="19" t="s">
        <v>41</v>
      </c>
      <c r="E429" s="20" t="str">
        <f>IFERROR(INDEX(貼り付け場所変換!F:F,MATCH(A429&amp;B429&amp;C429&amp;D429,貼り付け場所変換!H:H,0)),"該当なし")</f>
        <v>該当なし</v>
      </c>
      <c r="F429" s="19" t="str">
        <f>IFERROR(INDEX(貼り付け場所変換!G:G,MATCH(A429&amp;B429&amp;C429&amp;D429,貼り付け場所変換!H:H,0)),"該当なし")</f>
        <v>該当なし</v>
      </c>
    </row>
    <row r="430" spans="1:6">
      <c r="A430" s="19" t="s">
        <v>49</v>
      </c>
      <c r="B430" s="19" t="s">
        <v>47</v>
      </c>
      <c r="C430" s="19">
        <v>9</v>
      </c>
      <c r="D430" s="19" t="s">
        <v>41</v>
      </c>
      <c r="E430" s="20" t="str">
        <f>IFERROR(INDEX(貼り付け場所変換!F:F,MATCH(A430&amp;B430&amp;C430&amp;D430,貼り付け場所変換!H:H,0)),"該当なし")</f>
        <v>該当なし</v>
      </c>
      <c r="F430" s="19" t="str">
        <f>IFERROR(INDEX(貼り付け場所変換!G:G,MATCH(A430&amp;B430&amp;C430&amp;D430,貼り付け場所変換!H:H,0)),"該当なし")</f>
        <v>該当なし</v>
      </c>
    </row>
    <row r="431" spans="1:6">
      <c r="A431" s="19" t="s">
        <v>49</v>
      </c>
      <c r="B431" s="19" t="s">
        <v>47</v>
      </c>
      <c r="C431" s="19">
        <v>10</v>
      </c>
      <c r="D431" s="19" t="s">
        <v>41</v>
      </c>
      <c r="E431" s="20" t="str">
        <f>IFERROR(INDEX(貼り付け場所変換!F:F,MATCH(A431&amp;B431&amp;C431&amp;D431,貼り付け場所変換!H:H,0)),"該当なし")</f>
        <v>該当なし</v>
      </c>
      <c r="F431" s="19" t="str">
        <f>IFERROR(INDEX(貼り付け場所変換!G:G,MATCH(A431&amp;B431&amp;C431&amp;D431,貼り付け場所変換!H:H,0)),"該当なし")</f>
        <v>該当なし</v>
      </c>
    </row>
    <row r="432" spans="1:6">
      <c r="A432" s="19" t="s">
        <v>49</v>
      </c>
      <c r="B432" s="19" t="s">
        <v>47</v>
      </c>
      <c r="C432" s="19">
        <v>1</v>
      </c>
      <c r="D432" s="19" t="s">
        <v>42</v>
      </c>
      <c r="E432" s="20" t="str">
        <f>IFERROR(INDEX(貼り付け場所変換!F:F,MATCH(A432&amp;B432&amp;C432&amp;D432,貼り付け場所変換!H:H,0)),"該当なし")</f>
        <v>該当なし</v>
      </c>
      <c r="F432" s="19" t="str">
        <f>IFERROR(INDEX(貼り付け場所変換!G:G,MATCH(A432&amp;B432&amp;C432&amp;D432,貼り付け場所変換!H:H,0)),"該当なし")</f>
        <v>該当なし</v>
      </c>
    </row>
    <row r="433" spans="1:6">
      <c r="A433" s="19" t="s">
        <v>49</v>
      </c>
      <c r="B433" s="19" t="s">
        <v>47</v>
      </c>
      <c r="C433" s="19">
        <v>2</v>
      </c>
      <c r="D433" s="19" t="s">
        <v>42</v>
      </c>
      <c r="E433" s="20" t="str">
        <f>IFERROR(INDEX(貼り付け場所変換!F:F,MATCH(A433&amp;B433&amp;C433&amp;D433,貼り付け場所変換!H:H,0)),"該当なし")</f>
        <v>該当なし</v>
      </c>
      <c r="F433" s="19" t="str">
        <f>IFERROR(INDEX(貼り付け場所変換!G:G,MATCH(A433&amp;B433&amp;C433&amp;D433,貼り付け場所変換!H:H,0)),"該当なし")</f>
        <v>該当なし</v>
      </c>
    </row>
    <row r="434" spans="1:6">
      <c r="A434" s="19" t="s">
        <v>49</v>
      </c>
      <c r="B434" s="19" t="s">
        <v>47</v>
      </c>
      <c r="C434" s="19">
        <v>3</v>
      </c>
      <c r="D434" s="19" t="s">
        <v>42</v>
      </c>
      <c r="E434" s="20" t="str">
        <f>IFERROR(INDEX(貼り付け場所変換!F:F,MATCH(A434&amp;B434&amp;C434&amp;D434,貼り付け場所変換!H:H,0)),"該当なし")</f>
        <v>該当なし</v>
      </c>
      <c r="F434" s="19" t="str">
        <f>IFERROR(INDEX(貼り付け場所変換!G:G,MATCH(A434&amp;B434&amp;C434&amp;D434,貼り付け場所変換!H:H,0)),"該当なし")</f>
        <v>該当なし</v>
      </c>
    </row>
    <row r="435" spans="1:6">
      <c r="A435" s="19" t="s">
        <v>49</v>
      </c>
      <c r="B435" s="19" t="s">
        <v>47</v>
      </c>
      <c r="C435" s="19">
        <v>4</v>
      </c>
      <c r="D435" s="19" t="s">
        <v>42</v>
      </c>
      <c r="E435" s="20" t="str">
        <f>IFERROR(INDEX(貼り付け場所変換!F:F,MATCH(A435&amp;B435&amp;C435&amp;D435,貼り付け場所変換!H:H,0)),"該当なし")</f>
        <v>該当なし</v>
      </c>
      <c r="F435" s="19" t="str">
        <f>IFERROR(INDEX(貼り付け場所変換!G:G,MATCH(A435&amp;B435&amp;C435&amp;D435,貼り付け場所変換!H:H,0)),"該当なし")</f>
        <v>該当なし</v>
      </c>
    </row>
    <row r="436" spans="1:6">
      <c r="A436" s="19" t="s">
        <v>49</v>
      </c>
      <c r="B436" s="19" t="s">
        <v>47</v>
      </c>
      <c r="C436" s="19">
        <v>5</v>
      </c>
      <c r="D436" s="19" t="s">
        <v>42</v>
      </c>
      <c r="E436" s="20" t="str">
        <f>IFERROR(INDEX(貼り付け場所変換!F:F,MATCH(A436&amp;B436&amp;C436&amp;D436,貼り付け場所変換!H:H,0)),"該当なし")</f>
        <v>該当なし</v>
      </c>
      <c r="F436" s="19" t="str">
        <f>IFERROR(INDEX(貼り付け場所変換!G:G,MATCH(A436&amp;B436&amp;C436&amp;D436,貼り付け場所変換!H:H,0)),"該当なし")</f>
        <v>該当なし</v>
      </c>
    </row>
    <row r="437" spans="1:6">
      <c r="A437" s="19" t="s">
        <v>49</v>
      </c>
      <c r="B437" s="19" t="s">
        <v>47</v>
      </c>
      <c r="C437" s="19">
        <v>6</v>
      </c>
      <c r="D437" s="19" t="s">
        <v>42</v>
      </c>
      <c r="E437" s="20" t="str">
        <f>IFERROR(INDEX(貼り付け場所変換!F:F,MATCH(A437&amp;B437&amp;C437&amp;D437,貼り付け場所変換!H:H,0)),"該当なし")</f>
        <v>該当なし</v>
      </c>
      <c r="F437" s="19" t="str">
        <f>IFERROR(INDEX(貼り付け場所変換!G:G,MATCH(A437&amp;B437&amp;C437&amp;D437,貼り付け場所変換!H:H,0)),"該当なし")</f>
        <v>該当なし</v>
      </c>
    </row>
    <row r="438" spans="1:6">
      <c r="A438" s="19" t="s">
        <v>49</v>
      </c>
      <c r="B438" s="19" t="s">
        <v>47</v>
      </c>
      <c r="C438" s="19">
        <v>7</v>
      </c>
      <c r="D438" s="19" t="s">
        <v>42</v>
      </c>
      <c r="E438" s="20" t="str">
        <f>IFERROR(INDEX(貼り付け場所変換!F:F,MATCH(A438&amp;B438&amp;C438&amp;D438,貼り付け場所変換!H:H,0)),"該当なし")</f>
        <v>該当なし</v>
      </c>
      <c r="F438" s="19" t="str">
        <f>IFERROR(INDEX(貼り付け場所変換!G:G,MATCH(A438&amp;B438&amp;C438&amp;D438,貼り付け場所変換!H:H,0)),"該当なし")</f>
        <v>該当なし</v>
      </c>
    </row>
    <row r="439" spans="1:6">
      <c r="A439" s="19" t="s">
        <v>49</v>
      </c>
      <c r="B439" s="19" t="s">
        <v>47</v>
      </c>
      <c r="C439" s="19">
        <v>8</v>
      </c>
      <c r="D439" s="19" t="s">
        <v>42</v>
      </c>
      <c r="E439" s="20" t="str">
        <f>IFERROR(INDEX(貼り付け場所変換!F:F,MATCH(A439&amp;B439&amp;C439&amp;D439,貼り付け場所変換!H:H,0)),"該当なし")</f>
        <v>該当なし</v>
      </c>
      <c r="F439" s="19" t="str">
        <f>IFERROR(INDEX(貼り付け場所変換!G:G,MATCH(A439&amp;B439&amp;C439&amp;D439,貼り付け場所変換!H:H,0)),"該当なし")</f>
        <v>該当なし</v>
      </c>
    </row>
    <row r="440" spans="1:6">
      <c r="A440" s="19" t="s">
        <v>49</v>
      </c>
      <c r="B440" s="19" t="s">
        <v>47</v>
      </c>
      <c r="C440" s="19">
        <v>9</v>
      </c>
      <c r="D440" s="19" t="s">
        <v>42</v>
      </c>
      <c r="E440" s="20" t="str">
        <f>IFERROR(INDEX(貼り付け場所変換!F:F,MATCH(A440&amp;B440&amp;C440&amp;D440,貼り付け場所変換!H:H,0)),"該当なし")</f>
        <v>該当なし</v>
      </c>
      <c r="F440" s="19" t="str">
        <f>IFERROR(INDEX(貼り付け場所変換!G:G,MATCH(A440&amp;B440&amp;C440&amp;D440,貼り付け場所変換!H:H,0)),"該当なし")</f>
        <v>該当なし</v>
      </c>
    </row>
    <row r="441" spans="1:6">
      <c r="A441" s="19" t="s">
        <v>49</v>
      </c>
      <c r="B441" s="19" t="s">
        <v>47</v>
      </c>
      <c r="C441" s="19">
        <v>10</v>
      </c>
      <c r="D441" s="19" t="s">
        <v>42</v>
      </c>
      <c r="E441" s="20" t="str">
        <f>IFERROR(INDEX(貼り付け場所変換!F:F,MATCH(A441&amp;B441&amp;C441&amp;D441,貼り付け場所変換!H:H,0)),"該当なし")</f>
        <v>該当なし</v>
      </c>
      <c r="F441" s="19" t="str">
        <f>IFERROR(INDEX(貼り付け場所変換!G:G,MATCH(A441&amp;B441&amp;C441&amp;D441,貼り付け場所変換!H:H,0)),"該当なし")</f>
        <v>該当なし</v>
      </c>
    </row>
    <row r="442" spans="1:6">
      <c r="A442" s="19" t="s">
        <v>49</v>
      </c>
      <c r="B442" s="19" t="s">
        <v>47</v>
      </c>
      <c r="C442" s="19">
        <v>1</v>
      </c>
      <c r="D442" s="19" t="s">
        <v>43</v>
      </c>
      <c r="E442" s="20">
        <f>IFERROR(INDEX(貼り付け場所変換!F:F,MATCH(A442&amp;B442&amp;C442&amp;D442,貼り付け場所変換!H:H,0)),"該当なし")</f>
        <v>6.64</v>
      </c>
      <c r="F442" s="19" t="str">
        <f>IFERROR(INDEX(貼り付け場所変換!G:G,MATCH(A442&amp;B442&amp;C442&amp;D442,貼り付け場所変換!H:H,0)),"該当なし")</f>
        <v>破断状態A</v>
      </c>
    </row>
    <row r="443" spans="1:6">
      <c r="A443" s="19" t="s">
        <v>49</v>
      </c>
      <c r="B443" s="19" t="s">
        <v>47</v>
      </c>
      <c r="C443" s="19">
        <v>2</v>
      </c>
      <c r="D443" s="19" t="s">
        <v>43</v>
      </c>
      <c r="E443" s="20">
        <f>IFERROR(INDEX(貼り付け場所変換!F:F,MATCH(A443&amp;B443&amp;C443&amp;D443,貼り付け場所変換!H:H,0)),"該当なし")</f>
        <v>9.4700000000000006</v>
      </c>
      <c r="F443" s="19" t="str">
        <f>IFERROR(INDEX(貼り付け場所変換!G:G,MATCH(A443&amp;B443&amp;C443&amp;D443,貼り付け場所変換!H:H,0)),"該当なし")</f>
        <v>破断状態C</v>
      </c>
    </row>
    <row r="444" spans="1:6">
      <c r="A444" s="19" t="s">
        <v>49</v>
      </c>
      <c r="B444" s="19" t="s">
        <v>47</v>
      </c>
      <c r="C444" s="19">
        <v>3</v>
      </c>
      <c r="D444" s="19" t="s">
        <v>43</v>
      </c>
      <c r="E444" s="20">
        <f>IFERROR(INDEX(貼り付け場所変換!F:F,MATCH(A444&amp;B444&amp;C444&amp;D444,貼り付け場所変換!H:H,0)),"該当なし")</f>
        <v>3.14</v>
      </c>
      <c r="F444" s="19" t="str">
        <f>IFERROR(INDEX(貼り付け場所変換!G:G,MATCH(A444&amp;B444&amp;C444&amp;D444,貼り付け場所変換!H:H,0)),"該当なし")</f>
        <v>破断状態A</v>
      </c>
    </row>
    <row r="445" spans="1:6">
      <c r="A445" s="19" t="s">
        <v>49</v>
      </c>
      <c r="B445" s="19" t="s">
        <v>47</v>
      </c>
      <c r="C445" s="19">
        <v>4</v>
      </c>
      <c r="D445" s="19" t="s">
        <v>43</v>
      </c>
      <c r="E445" s="20">
        <f>IFERROR(INDEX(貼り付け場所変換!F:F,MATCH(A445&amp;B445&amp;C445&amp;D445,貼り付け場所変換!H:H,0)),"該当なし")</f>
        <v>0.49</v>
      </c>
      <c r="F445" s="19" t="str">
        <f>IFERROR(INDEX(貼り付け場所変換!G:G,MATCH(A445&amp;B445&amp;C445&amp;D445,貼り付け場所変換!H:H,0)),"該当なし")</f>
        <v>破断状態A</v>
      </c>
    </row>
    <row r="446" spans="1:6">
      <c r="A446" s="19" t="s">
        <v>49</v>
      </c>
      <c r="B446" s="19" t="s">
        <v>47</v>
      </c>
      <c r="C446" s="19">
        <v>5</v>
      </c>
      <c r="D446" s="19" t="s">
        <v>43</v>
      </c>
      <c r="E446" s="20">
        <f>IFERROR(INDEX(貼り付け場所変換!F:F,MATCH(A446&amp;B446&amp;C446&amp;D446,貼り付け場所変換!H:H,0)),"該当なし")</f>
        <v>7.64</v>
      </c>
      <c r="F446" s="19" t="str">
        <f>IFERROR(INDEX(貼り付け場所変換!G:G,MATCH(A446&amp;B446&amp;C446&amp;D446,貼り付け場所変換!H:H,0)),"該当なし")</f>
        <v>破断状態C</v>
      </c>
    </row>
    <row r="447" spans="1:6">
      <c r="A447" s="19" t="s">
        <v>49</v>
      </c>
      <c r="B447" s="19" t="s">
        <v>47</v>
      </c>
      <c r="C447" s="19">
        <v>6</v>
      </c>
      <c r="D447" s="19" t="s">
        <v>43</v>
      </c>
      <c r="E447" s="20" t="str">
        <f>IFERROR(INDEX(貼り付け場所変換!F:F,MATCH(A447&amp;B447&amp;C447&amp;D447,貼り付け場所変換!H:H,0)),"該当なし")</f>
        <v>該当なし</v>
      </c>
      <c r="F447" s="19" t="str">
        <f>IFERROR(INDEX(貼り付け場所変換!G:G,MATCH(A447&amp;B447&amp;C447&amp;D447,貼り付け場所変換!H:H,0)),"該当なし")</f>
        <v>該当なし</v>
      </c>
    </row>
    <row r="448" spans="1:6">
      <c r="A448" s="19" t="s">
        <v>49</v>
      </c>
      <c r="B448" s="19" t="s">
        <v>47</v>
      </c>
      <c r="C448" s="19">
        <v>7</v>
      </c>
      <c r="D448" s="19" t="s">
        <v>43</v>
      </c>
      <c r="E448" s="20" t="str">
        <f>IFERROR(INDEX(貼り付け場所変換!F:F,MATCH(A448&amp;B448&amp;C448&amp;D448,貼り付け場所変換!H:H,0)),"該当なし")</f>
        <v>該当なし</v>
      </c>
      <c r="F448" s="19" t="str">
        <f>IFERROR(INDEX(貼り付け場所変換!G:G,MATCH(A448&amp;B448&amp;C448&amp;D448,貼り付け場所変換!H:H,0)),"該当なし")</f>
        <v>該当なし</v>
      </c>
    </row>
    <row r="449" spans="1:6">
      <c r="A449" s="19" t="s">
        <v>49</v>
      </c>
      <c r="B449" s="19" t="s">
        <v>47</v>
      </c>
      <c r="C449" s="19">
        <v>8</v>
      </c>
      <c r="D449" s="19" t="s">
        <v>43</v>
      </c>
      <c r="E449" s="20" t="str">
        <f>IFERROR(INDEX(貼り付け場所変換!F:F,MATCH(A449&amp;B449&amp;C449&amp;D449,貼り付け場所変換!H:H,0)),"該当なし")</f>
        <v>該当なし</v>
      </c>
      <c r="F449" s="19" t="str">
        <f>IFERROR(INDEX(貼り付け場所変換!G:G,MATCH(A449&amp;B449&amp;C449&amp;D449,貼り付け場所変換!H:H,0)),"該当なし")</f>
        <v>該当なし</v>
      </c>
    </row>
    <row r="450" spans="1:6">
      <c r="A450" s="19" t="s">
        <v>49</v>
      </c>
      <c r="B450" s="19" t="s">
        <v>47</v>
      </c>
      <c r="C450" s="19">
        <v>9</v>
      </c>
      <c r="D450" s="19" t="s">
        <v>43</v>
      </c>
      <c r="E450" s="20" t="str">
        <f>IFERROR(INDEX(貼り付け場所変換!F:F,MATCH(A450&amp;B450&amp;C450&amp;D450,貼り付け場所変換!H:H,0)),"該当なし")</f>
        <v>該当なし</v>
      </c>
      <c r="F450" s="19" t="str">
        <f>IFERROR(INDEX(貼り付け場所変換!G:G,MATCH(A450&amp;B450&amp;C450&amp;D450,貼り付け場所変換!H:H,0)),"該当なし")</f>
        <v>該当なし</v>
      </c>
    </row>
    <row r="451" spans="1:6">
      <c r="A451" s="19" t="s">
        <v>49</v>
      </c>
      <c r="B451" s="19" t="s">
        <v>47</v>
      </c>
      <c r="C451" s="19">
        <v>10</v>
      </c>
      <c r="D451" s="19" t="s">
        <v>43</v>
      </c>
      <c r="E451" s="20" t="str">
        <f>IFERROR(INDEX(貼り付け場所変換!F:F,MATCH(A451&amp;B451&amp;C451&amp;D451,貼り付け場所変換!H:H,0)),"該当なし")</f>
        <v>該当なし</v>
      </c>
      <c r="F451" s="19" t="str">
        <f>IFERROR(INDEX(貼り付け場所変換!G:G,MATCH(A451&amp;B451&amp;C451&amp;D451,貼り付け場所変換!H:H,0)),"該当なし")</f>
        <v>該当なし</v>
      </c>
    </row>
  </sheetData>
  <autoFilter ref="A1:F451" xr:uid="{00000000-0009-0000-0000-000003000000}"/>
  <phoneticPr fontId="7"/>
  <conditionalFormatting sqref="A2:F451">
    <cfRule type="expression" dxfId="0" priority="1">
      <formula>OR($E2="該当なし",$F2="該当なし")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操作</vt:lpstr>
      <vt:lpstr>filelist</vt:lpstr>
      <vt:lpstr>貼り付け場所変換</vt:lpstr>
      <vt:lpstr>まとめDB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佳明 福士</cp:lastModifiedBy>
  <dcterms:created xsi:type="dcterms:W3CDTF">2026-03-15T02:22:39Z</dcterms:created>
  <dcterms:modified xsi:type="dcterms:W3CDTF">2026-03-22T04:41:39Z</dcterms:modified>
</cp:coreProperties>
</file>