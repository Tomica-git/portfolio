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omica/Documents/Cursor/転職用GITHUB/"/>
    </mc:Choice>
  </mc:AlternateContent>
  <xr:revisionPtr revIDLastSave="0" documentId="13_ncr:1_{C9A8F58C-638A-0248-8DF9-5C2ADF368AC4}" xr6:coauthVersionLast="47" xr6:coauthVersionMax="47" xr10:uidLastSave="{00000000-0000-0000-0000-000000000000}"/>
  <bookViews>
    <workbookView xWindow="0" yWindow="500" windowWidth="33880" windowHeight="18600" activeTab="2" xr2:uid="{00000000-000D-0000-FFFF-FFFF00000000}"/>
  </bookViews>
  <sheets>
    <sheet name="操作" sheetId="1" r:id="rId1"/>
    <sheet name="filelist" sheetId="2" r:id="rId2"/>
    <sheet name="貼り付け場所変換" sheetId="3" r:id="rId3"/>
  </sheets>
  <definedNames>
    <definedName name="_xlnm._FilterDatabase" localSheetId="2" hidden="1">貼り付け場所変換!$A$1:$G$6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3" l="1"/>
  <c r="C3" i="3"/>
  <c r="D3" i="3"/>
  <c r="E3" i="3"/>
  <c r="F3" i="3"/>
  <c r="G3" i="3"/>
  <c r="B4" i="3"/>
  <c r="C4" i="3"/>
  <c r="D4" i="3"/>
  <c r="E4" i="3"/>
  <c r="F4" i="3"/>
  <c r="G4" i="3"/>
  <c r="B5" i="3"/>
  <c r="C5" i="3"/>
  <c r="D5" i="3"/>
  <c r="E5" i="3"/>
  <c r="F5" i="3"/>
  <c r="G5" i="3"/>
  <c r="B6" i="3"/>
  <c r="C6" i="3"/>
  <c r="D6" i="3"/>
  <c r="E6" i="3"/>
  <c r="F6" i="3"/>
  <c r="G6" i="3"/>
  <c r="B7" i="3"/>
  <c r="C7" i="3"/>
  <c r="D7" i="3"/>
  <c r="E7" i="3"/>
  <c r="F7" i="3"/>
  <c r="G7" i="3"/>
  <c r="B8" i="3"/>
  <c r="C8" i="3"/>
  <c r="D8" i="3"/>
  <c r="E8" i="3"/>
  <c r="F8" i="3"/>
  <c r="G8" i="3"/>
  <c r="B9" i="3"/>
  <c r="C9" i="3"/>
  <c r="D9" i="3"/>
  <c r="E9" i="3"/>
  <c r="F9" i="3"/>
  <c r="G9" i="3"/>
  <c r="B10" i="3"/>
  <c r="C10" i="3"/>
  <c r="D10" i="3"/>
  <c r="E10" i="3"/>
  <c r="F10" i="3"/>
  <c r="G10" i="3"/>
  <c r="B11" i="3"/>
  <c r="C11" i="3"/>
  <c r="D11" i="3"/>
  <c r="E11" i="3"/>
  <c r="F11" i="3"/>
  <c r="G11" i="3"/>
  <c r="B12" i="3"/>
  <c r="C12" i="3"/>
  <c r="D12" i="3"/>
  <c r="E12" i="3"/>
  <c r="F12" i="3"/>
  <c r="G12" i="3"/>
  <c r="B13" i="3"/>
  <c r="C13" i="3"/>
  <c r="D13" i="3"/>
  <c r="E13" i="3"/>
  <c r="F13" i="3"/>
  <c r="G13" i="3"/>
  <c r="B14" i="3"/>
  <c r="C14" i="3"/>
  <c r="D14" i="3"/>
  <c r="E14" i="3"/>
  <c r="F14" i="3"/>
  <c r="G14" i="3"/>
  <c r="B15" i="3"/>
  <c r="C15" i="3"/>
  <c r="D15" i="3"/>
  <c r="E15" i="3"/>
  <c r="F15" i="3"/>
  <c r="G15" i="3"/>
  <c r="B16" i="3"/>
  <c r="C16" i="3"/>
  <c r="D16" i="3"/>
  <c r="E16" i="3"/>
  <c r="F16" i="3"/>
  <c r="G16" i="3"/>
  <c r="B17" i="3"/>
  <c r="C17" i="3"/>
  <c r="D17" i="3"/>
  <c r="E17" i="3"/>
  <c r="F17" i="3"/>
  <c r="G17" i="3"/>
  <c r="B18" i="3"/>
  <c r="C18" i="3"/>
  <c r="D18" i="3"/>
  <c r="E18" i="3"/>
  <c r="F18" i="3"/>
  <c r="G18" i="3"/>
  <c r="B19" i="3"/>
  <c r="C19" i="3"/>
  <c r="D19" i="3"/>
  <c r="E19" i="3"/>
  <c r="F19" i="3"/>
  <c r="G19" i="3"/>
  <c r="B20" i="3"/>
  <c r="C20" i="3"/>
  <c r="D20" i="3"/>
  <c r="E20" i="3"/>
  <c r="F20" i="3"/>
  <c r="G20" i="3"/>
  <c r="B21" i="3"/>
  <c r="C21" i="3"/>
  <c r="D21" i="3"/>
  <c r="E21" i="3"/>
  <c r="F21" i="3"/>
  <c r="G21" i="3"/>
  <c r="G2" i="3"/>
  <c r="F2" i="3"/>
  <c r="E2" i="3"/>
  <c r="D2" i="3"/>
  <c r="C2" i="3"/>
  <c r="B2" i="3"/>
</calcChain>
</file>

<file path=xl/sharedStrings.xml><?xml version="1.0" encoding="utf-8"?>
<sst xmlns="http://schemas.openxmlformats.org/spreadsheetml/2006/main" count="57" uniqueCount="37">
  <si>
    <t>破断面観察 自動入力マクロ</t>
  </si>
  <si>
    <t>① 下の【参照】ボタンを押してフォルダを選択</t>
  </si>
  <si>
    <t>選択フォルダ:</t>
  </si>
  <si>
    <t>② 【ファイル一覧取得】ボタンを押す → filelist に全ファイル名が出力</t>
  </si>
  <si>
    <t>③ filelist シートの A 列を全選択 → コピー</t>
  </si>
  <si>
    <t>④ 「貼り付け場所変換」シートの A 列に貼り付け → 関数で自動変換</t>
  </si>
  <si>
    <t>画像ファイル名</t>
  </si>
  <si>
    <t>ファイル名
（filelist から貼り付け）</t>
  </si>
  <si>
    <t>正式型番</t>
  </si>
  <si>
    <t>取得位置</t>
  </si>
  <si>
    <t>サンプル番号
（数値）</t>
  </si>
  <si>
    <t>破断方向</t>
  </si>
  <si>
    <t>測定値</t>
  </si>
  <si>
    <t>破断状態</t>
  </si>
  <si>
    <r>
      <rPr>
        <sz val="10"/>
        <color rgb="FF808080"/>
        <rFont val="Yu Gothic"/>
        <family val="2"/>
        <charset val="128"/>
      </rPr>
      <t>選択したフォルダから</t>
    </r>
    <r>
      <rPr>
        <sz val="10"/>
        <color rgb="FF808080"/>
        <rFont val="Arial"/>
        <family val="2"/>
      </rPr>
      <t>filelist</t>
    </r>
    <r>
      <rPr>
        <sz val="10"/>
        <color rgb="FF808080"/>
        <rFont val="Yu Gothic"/>
        <family val="2"/>
        <charset val="128"/>
      </rPr>
      <t>のシートにファイル名を張り出す</t>
    </r>
    <rPh sb="0" eb="2">
      <t>センタク</t>
    </rPh>
    <rPh sb="27" eb="28">
      <t>メイ</t>
    </rPh>
    <rPh sb="29" eb="30">
      <t>ハ</t>
    </rPh>
    <rPh sb="31" eb="32">
      <t>ダ</t>
    </rPh>
    <phoneticPr fontId="8"/>
  </si>
  <si>
    <t>選択するフォルダを決定</t>
    <rPh sb="0" eb="2">
      <t>センタク</t>
    </rPh>
    <rPh sb="9" eb="11">
      <t>ケッテイ</t>
    </rPh>
    <phoneticPr fontId="8"/>
  </si>
  <si>
    <t>84-12BM01②_5.34um破断状態B.jpg</t>
  </si>
  <si>
    <t>84-12BM02②_7.48um破断状態B.jpg</t>
  </si>
  <si>
    <t>84-12BM03②_8.57um破断状態A.jpg</t>
  </si>
  <si>
    <t>84-12BM04②_5.03um破断状態C.jpg</t>
  </si>
  <si>
    <t>84-12BM05②_7.48um破断状態C.jpg</t>
  </si>
  <si>
    <t>84-12RE01②_4.18um破断状態B.jpg</t>
  </si>
  <si>
    <t>84-12RE02②_1.98um破断状態B.jpg</t>
  </si>
  <si>
    <t>84-12RE03②_9.20um破断状態B.jpg</t>
  </si>
  <si>
    <t>84-12RE04②_6.60um破断状態B.jpg</t>
  </si>
  <si>
    <t>84-12RE05②_7.07um破断状態A.jpg</t>
  </si>
  <si>
    <t>84-50RE01③_6.64um破断状態A.jpg</t>
  </si>
  <si>
    <t>84-50RE02③_9.47um破断状態C.jpg</t>
  </si>
  <si>
    <t>84-50RE03③_3.14um破断状態A.jpg</t>
  </si>
  <si>
    <t>84-50RE04③_0.49um破断状態A.jpg</t>
  </si>
  <si>
    <t>84-50RE05③_7.64um破断状態C.jpg</t>
  </si>
  <si>
    <t>84-50TE01①_1.86um破断状態A.jpg</t>
  </si>
  <si>
    <t>84-50TE02①_2.69um破断状態C.jpg</t>
  </si>
  <si>
    <t>84-50TE03①_2.98um破断状態C.jpg</t>
  </si>
  <si>
    <t>84-50TE04①_7.56um破断状態A.jpg</t>
  </si>
  <si>
    <t>84-50TE05①_9.27um破断状態B.jpg</t>
  </si>
  <si>
    <t>/Users/tomica/Documents/Cursor/転職用GITHUB/dummy_images/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</si>
</sst>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ＭＳ Ｐゴシック"/>
      <family val="2"/>
      <scheme val="minor"/>
    </font>
    <font>
      <b/>
      <sz val="16"/>
      <color rgb="FF2F5496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rgb="FF0000FF"/>
      <name val="Arial"/>
      <family val="2"/>
    </font>
    <font>
      <sz val="10"/>
      <color rgb="FF808080"/>
      <name val="Arial"/>
      <family val="2"/>
    </font>
    <font>
      <sz val="10"/>
      <name val="Arial"/>
      <family val="2"/>
    </font>
    <font>
      <b/>
      <sz val="11"/>
      <color rgb="FFFFFFFF"/>
      <name val="Arial"/>
      <family val="2"/>
    </font>
    <font>
      <sz val="6"/>
      <name val="ＭＳ Ｐゴシック"/>
      <family val="3"/>
      <charset val="128"/>
      <scheme val="minor"/>
    </font>
    <font>
      <sz val="10"/>
      <color rgb="FF808080"/>
      <name val="ＭＳ ゴシック"/>
      <family val="3"/>
      <charset val="128"/>
    </font>
    <font>
      <sz val="10"/>
      <color rgb="FF808080"/>
      <name val="Yu Gothic"/>
      <family val="2"/>
      <charset val="128"/>
    </font>
    <font>
      <sz val="10"/>
      <color rgb="FF808080"/>
      <name val="Arial"/>
      <family val="2"/>
      <charset val="128"/>
    </font>
    <font>
      <sz val="11"/>
      <color rgb="FF000000"/>
      <name val="ＭＳ Ｐゴシック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rgb="FF2F5496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1" xfId="0" applyFont="1" applyBorder="1"/>
    <xf numFmtId="0" fontId="7" fillId="2" borderId="1" xfId="0" applyFont="1" applyFill="1" applyBorder="1" applyAlignment="1">
      <alignment horizontal="center" vertical="center" wrapText="1"/>
    </xf>
    <xf numFmtId="22" fontId="0" fillId="0" borderId="0" xfId="0" applyNumberFormat="1"/>
    <xf numFmtId="0" fontId="9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3" borderId="0" xfId="0" applyFill="1"/>
    <xf numFmtId="2" fontId="6" fillId="4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4" borderId="0" xfId="0" applyFill="1"/>
    <xf numFmtId="0" fontId="7" fillId="5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/>
    </xf>
    <xf numFmtId="0" fontId="0" fillId="6" borderId="0" xfId="0" applyFill="1"/>
    <xf numFmtId="0" fontId="7" fillId="7" borderId="1" xfId="0" applyFont="1" applyFill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10</xdr:row>
          <xdr:rowOff>25400</xdr:rowOff>
        </xdr:from>
        <xdr:to>
          <xdr:col>1</xdr:col>
          <xdr:colOff>1409700</xdr:colOff>
          <xdr:row>12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139700</xdr:colOff>
          <xdr:row>12</xdr:row>
          <xdr:rowOff>50800</xdr:rowOff>
        </xdr:from>
        <xdr:to>
          <xdr:col>1</xdr:col>
          <xdr:colOff>1397000</xdr:colOff>
          <xdr:row>14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ファイルチェック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14"/>
  <sheetViews>
    <sheetView workbookViewId="0">
      <selection activeCell="A16" sqref="A16:XFD28"/>
    </sheetView>
  </sheetViews>
  <sheetFormatPr baseColWidth="10" defaultColWidth="8.83203125" defaultRowHeight="14"/>
  <cols>
    <col min="1" max="1" width="3" customWidth="1"/>
    <col min="2" max="2" width="22" customWidth="1"/>
    <col min="3" max="3" width="50" customWidth="1"/>
    <col min="4" max="5" width="16" customWidth="1"/>
  </cols>
  <sheetData>
    <row r="2" spans="2:3" ht="20">
      <c r="B2" s="1" t="s">
        <v>0</v>
      </c>
    </row>
    <row r="4" spans="2:3">
      <c r="B4" s="2" t="s">
        <v>1</v>
      </c>
    </row>
    <row r="5" spans="2:3">
      <c r="B5" s="3" t="s">
        <v>2</v>
      </c>
      <c r="C5" s="4" t="s">
        <v>36</v>
      </c>
    </row>
    <row r="7" spans="2:3">
      <c r="B7" s="2" t="s">
        <v>3</v>
      </c>
    </row>
    <row r="9" spans="2:3">
      <c r="B9" s="2" t="s">
        <v>4</v>
      </c>
    </row>
    <row r="10" spans="2:3">
      <c r="B10" s="2" t="s">
        <v>5</v>
      </c>
    </row>
    <row r="12" spans="2:3">
      <c r="C12" s="7" t="s">
        <v>15</v>
      </c>
    </row>
    <row r="14" spans="2:3" ht="17">
      <c r="C14" s="8" t="s">
        <v>14</v>
      </c>
    </row>
  </sheetData>
  <phoneticPr fontId="8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heet1.SelectFolder">
                <anchor moveWithCells="1" sizeWithCells="1">
                  <from>
                    <xdr:col>1</xdr:col>
                    <xdr:colOff>114300</xdr:colOff>
                    <xdr:row>10</xdr:row>
                    <xdr:rowOff>25400</xdr:rowOff>
                  </from>
                  <to>
                    <xdr:col>1</xdr:col>
                    <xdr:colOff>1409700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GetFileList">
                <anchor moveWithCells="1" sizeWithCells="1">
                  <from>
                    <xdr:col>1</xdr:col>
                    <xdr:colOff>139700</xdr:colOff>
                    <xdr:row>12</xdr:row>
                    <xdr:rowOff>50800</xdr:rowOff>
                  </from>
                  <to>
                    <xdr:col>1</xdr:col>
                    <xdr:colOff>1397000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21"/>
  <sheetViews>
    <sheetView workbookViewId="0">
      <pane ySplit="1" topLeftCell="A2" activePane="bottomLeft" state="frozen"/>
      <selection pane="bottomLeft" activeCell="A2" sqref="A2:A21"/>
    </sheetView>
  </sheetViews>
  <sheetFormatPr baseColWidth="10" defaultColWidth="8.83203125" defaultRowHeight="14"/>
  <cols>
    <col min="1" max="1" width="50" customWidth="1"/>
  </cols>
  <sheetData>
    <row r="1" spans="1:2" ht="15">
      <c r="A1" s="5" t="s">
        <v>6</v>
      </c>
    </row>
    <row r="2" spans="1:2">
      <c r="A2" t="s">
        <v>16</v>
      </c>
      <c r="B2" s="6"/>
    </row>
    <row r="3" spans="1:2">
      <c r="A3" t="s">
        <v>17</v>
      </c>
    </row>
    <row r="4" spans="1:2">
      <c r="A4" t="s">
        <v>18</v>
      </c>
    </row>
    <row r="5" spans="1:2">
      <c r="A5" t="s">
        <v>19</v>
      </c>
    </row>
    <row r="6" spans="1:2">
      <c r="A6" t="s">
        <v>20</v>
      </c>
    </row>
    <row r="7" spans="1:2">
      <c r="A7" t="s">
        <v>21</v>
      </c>
    </row>
    <row r="8" spans="1:2">
      <c r="A8" t="s">
        <v>22</v>
      </c>
    </row>
    <row r="9" spans="1:2">
      <c r="A9" t="s">
        <v>23</v>
      </c>
    </row>
    <row r="10" spans="1:2">
      <c r="A10" t="s">
        <v>24</v>
      </c>
    </row>
    <row r="11" spans="1:2">
      <c r="A11" t="s">
        <v>25</v>
      </c>
    </row>
    <row r="12" spans="1:2">
      <c r="A12" t="s">
        <v>26</v>
      </c>
    </row>
    <row r="13" spans="1:2">
      <c r="A13" t="s">
        <v>27</v>
      </c>
    </row>
    <row r="14" spans="1:2">
      <c r="A14" t="s">
        <v>28</v>
      </c>
    </row>
    <row r="15" spans="1:2">
      <c r="A15" t="s">
        <v>29</v>
      </c>
    </row>
    <row r="16" spans="1:2">
      <c r="A16" t="s">
        <v>30</v>
      </c>
    </row>
    <row r="17" spans="1:1">
      <c r="A17" t="s">
        <v>31</v>
      </c>
    </row>
    <row r="18" spans="1:1">
      <c r="A18" t="s">
        <v>32</v>
      </c>
    </row>
    <row r="19" spans="1:1">
      <c r="A19" t="s">
        <v>33</v>
      </c>
    </row>
    <row r="20" spans="1:1">
      <c r="A20" t="s">
        <v>34</v>
      </c>
    </row>
    <row r="21" spans="1:1">
      <c r="A21" t="s">
        <v>35</v>
      </c>
    </row>
  </sheetData>
  <phoneticPr fontId="8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1"/>
  <sheetViews>
    <sheetView tabSelected="1" zoomScale="142" zoomScaleNormal="142" workbookViewId="0">
      <pane ySplit="1" topLeftCell="A2" activePane="bottomLeft" state="frozen"/>
      <selection pane="bottomLeft" activeCell="H2" sqref="H2"/>
    </sheetView>
  </sheetViews>
  <sheetFormatPr baseColWidth="10" defaultColWidth="8.83203125" defaultRowHeight="14"/>
  <cols>
    <col min="1" max="1" width="30.83203125" style="9" customWidth="1"/>
    <col min="2" max="2" width="22" style="15" customWidth="1"/>
    <col min="3" max="3" width="18" style="15" customWidth="1"/>
    <col min="4" max="5" width="14" style="15" customWidth="1"/>
    <col min="6" max="6" width="7.33203125" style="12" customWidth="1"/>
    <col min="7" max="7" width="12.83203125" style="12" customWidth="1"/>
  </cols>
  <sheetData>
    <row r="1" spans="1:7" ht="30">
      <c r="A1" s="17" t="s">
        <v>7</v>
      </c>
      <c r="B1" s="16" t="s">
        <v>8</v>
      </c>
      <c r="C1" s="16" t="s">
        <v>9</v>
      </c>
      <c r="D1" s="16" t="s">
        <v>10</v>
      </c>
      <c r="E1" s="16" t="s">
        <v>11</v>
      </c>
      <c r="F1" s="13" t="s">
        <v>12</v>
      </c>
      <c r="G1" s="13" t="s">
        <v>13</v>
      </c>
    </row>
    <row r="2" spans="1:7">
      <c r="A2" s="9" t="s">
        <v>16</v>
      </c>
      <c r="B2" s="14" t="str">
        <f>IF(MID(A2,1,5)="80-50","DH260507580-50",IF(MID(A2,1,5)="84-12","CE260402384-12",IF(MID(A2,1,5)="84-50","DCH003484-50","該当なし")))</f>
        <v>CE260402384-12</v>
      </c>
      <c r="C2" s="14" t="str">
        <f>IF(MID(A2,6,2)="TE","Top Edge",IF(MID(A2,6,2)="BM","Bottom Middle",IF(MID(A2,6,2)="Ct","Center",IF(MID(A2,6,2)="LE","Left Edge",IF(MID(A2,6,2)="RE","Right Edge","該当なし")))))</f>
        <v>Bottom Middle</v>
      </c>
      <c r="D2" s="14">
        <f>MID(A2,8,2)*1</f>
        <v>1</v>
      </c>
      <c r="E2" s="14" t="str">
        <f>IF(IFERROR(FIND("①",A2),0)+IFERROR(FIND("②",A2),0)+IFERROR(FIND("③",A2),0)=0,"該当なし",MID(A2,IFERROR(FIND("①",A2),0)+IFERROR(FIND("②",A2),0)+IFERROR(FIND("③",A2),0),1))</f>
        <v>②</v>
      </c>
      <c r="F2" s="10">
        <f>MID(A2,FIND("_",A2)+1,FIND("um",A2)-FIND("_",A2)-1)*1</f>
        <v>5.34</v>
      </c>
      <c r="G2" s="11" t="str">
        <f>MID(A2,FIND("um",A2)+2,FIND(".jpg",A2)-FIND("um",A2)-2)</f>
        <v>破断状態B</v>
      </c>
    </row>
    <row r="3" spans="1:7">
      <c r="A3" s="9" t="s">
        <v>17</v>
      </c>
      <c r="B3" s="14" t="str">
        <f t="shared" ref="B3:B21" si="0">IF(MID(A3,1,5)="80-50","DH260507580-50",IF(MID(A3,1,5)="84-12","CE260402384-12",IF(MID(A3,1,5)="84-50","DCH003484-50","該当なし")))</f>
        <v>CE260402384-12</v>
      </c>
      <c r="C3" s="14" t="str">
        <f t="shared" ref="C3:C21" si="1">IF(MID(A3,6,2)="TE","Top Edge",IF(MID(A3,6,2)="BM","Bottom Middle",IF(MID(A3,6,2)="Ct","Center",IF(MID(A3,6,2)="LE","Left Edge",IF(MID(A3,6,2)="RE","Right Edge","該当なし")))))</f>
        <v>Bottom Middle</v>
      </c>
      <c r="D3" s="14">
        <f t="shared" ref="D3:D21" si="2">MID(A3,8,2)*1</f>
        <v>2</v>
      </c>
      <c r="E3" s="14" t="str">
        <f t="shared" ref="E3:E21" si="3">IF(IFERROR(FIND("①",A3),0)+IFERROR(FIND("②",A3),0)+IFERROR(FIND("③",A3),0)=0,"該当なし",MID(A3,IFERROR(FIND("①",A3),0)+IFERROR(FIND("②",A3),0)+IFERROR(FIND("③",A3),0),1))</f>
        <v>②</v>
      </c>
      <c r="F3" s="10">
        <f t="shared" ref="F3:F21" si="4">MID(A3,FIND("_",A3)+1,FIND("um",A3)-FIND("_",A3)-1)*1</f>
        <v>7.48</v>
      </c>
      <c r="G3" s="11" t="str">
        <f t="shared" ref="G3:G21" si="5">MID(A3,FIND("um",A3)+2,FIND(".jpg",A3)-FIND("um",A3)-2)</f>
        <v>破断状態B</v>
      </c>
    </row>
    <row r="4" spans="1:7">
      <c r="A4" s="9" t="s">
        <v>18</v>
      </c>
      <c r="B4" s="14" t="str">
        <f t="shared" si="0"/>
        <v>CE260402384-12</v>
      </c>
      <c r="C4" s="14" t="str">
        <f t="shared" si="1"/>
        <v>Bottom Middle</v>
      </c>
      <c r="D4" s="14">
        <f t="shared" si="2"/>
        <v>3</v>
      </c>
      <c r="E4" s="14" t="str">
        <f t="shared" si="3"/>
        <v>②</v>
      </c>
      <c r="F4" s="10">
        <f t="shared" si="4"/>
        <v>8.57</v>
      </c>
      <c r="G4" s="11" t="str">
        <f t="shared" si="5"/>
        <v>破断状態A</v>
      </c>
    </row>
    <row r="5" spans="1:7">
      <c r="A5" s="9" t="s">
        <v>19</v>
      </c>
      <c r="B5" s="14" t="str">
        <f t="shared" si="0"/>
        <v>CE260402384-12</v>
      </c>
      <c r="C5" s="14" t="str">
        <f t="shared" si="1"/>
        <v>Bottom Middle</v>
      </c>
      <c r="D5" s="14">
        <f t="shared" si="2"/>
        <v>4</v>
      </c>
      <c r="E5" s="14" t="str">
        <f t="shared" si="3"/>
        <v>②</v>
      </c>
      <c r="F5" s="10">
        <f t="shared" si="4"/>
        <v>5.03</v>
      </c>
      <c r="G5" s="11" t="str">
        <f t="shared" si="5"/>
        <v>破断状態C</v>
      </c>
    </row>
    <row r="6" spans="1:7">
      <c r="A6" s="9" t="s">
        <v>20</v>
      </c>
      <c r="B6" s="14" t="str">
        <f t="shared" si="0"/>
        <v>CE260402384-12</v>
      </c>
      <c r="C6" s="14" t="str">
        <f t="shared" si="1"/>
        <v>Bottom Middle</v>
      </c>
      <c r="D6" s="14">
        <f t="shared" si="2"/>
        <v>5</v>
      </c>
      <c r="E6" s="14" t="str">
        <f t="shared" si="3"/>
        <v>②</v>
      </c>
      <c r="F6" s="10">
        <f t="shared" si="4"/>
        <v>7.48</v>
      </c>
      <c r="G6" s="11" t="str">
        <f t="shared" si="5"/>
        <v>破断状態C</v>
      </c>
    </row>
    <row r="7" spans="1:7">
      <c r="A7" s="9" t="s">
        <v>21</v>
      </c>
      <c r="B7" s="14" t="str">
        <f t="shared" si="0"/>
        <v>CE260402384-12</v>
      </c>
      <c r="C7" s="14" t="str">
        <f t="shared" si="1"/>
        <v>Right Edge</v>
      </c>
      <c r="D7" s="14">
        <f t="shared" si="2"/>
        <v>1</v>
      </c>
      <c r="E7" s="14" t="str">
        <f t="shared" si="3"/>
        <v>②</v>
      </c>
      <c r="F7" s="10">
        <f t="shared" si="4"/>
        <v>4.18</v>
      </c>
      <c r="G7" s="11" t="str">
        <f t="shared" si="5"/>
        <v>破断状態B</v>
      </c>
    </row>
    <row r="8" spans="1:7">
      <c r="A8" s="9" t="s">
        <v>22</v>
      </c>
      <c r="B8" s="14" t="str">
        <f t="shared" si="0"/>
        <v>CE260402384-12</v>
      </c>
      <c r="C8" s="14" t="str">
        <f t="shared" si="1"/>
        <v>Right Edge</v>
      </c>
      <c r="D8" s="14">
        <f t="shared" si="2"/>
        <v>2</v>
      </c>
      <c r="E8" s="14" t="str">
        <f t="shared" si="3"/>
        <v>②</v>
      </c>
      <c r="F8" s="10">
        <f t="shared" si="4"/>
        <v>1.98</v>
      </c>
      <c r="G8" s="11" t="str">
        <f t="shared" si="5"/>
        <v>破断状態B</v>
      </c>
    </row>
    <row r="9" spans="1:7">
      <c r="A9" s="9" t="s">
        <v>23</v>
      </c>
      <c r="B9" s="14" t="str">
        <f t="shared" si="0"/>
        <v>CE260402384-12</v>
      </c>
      <c r="C9" s="14" t="str">
        <f t="shared" si="1"/>
        <v>Right Edge</v>
      </c>
      <c r="D9" s="14">
        <f t="shared" si="2"/>
        <v>3</v>
      </c>
      <c r="E9" s="14" t="str">
        <f t="shared" si="3"/>
        <v>②</v>
      </c>
      <c r="F9" s="10">
        <f t="shared" si="4"/>
        <v>9.1999999999999993</v>
      </c>
      <c r="G9" s="11" t="str">
        <f t="shared" si="5"/>
        <v>破断状態B</v>
      </c>
    </row>
    <row r="10" spans="1:7">
      <c r="A10" s="9" t="s">
        <v>24</v>
      </c>
      <c r="B10" s="14" t="str">
        <f t="shared" si="0"/>
        <v>CE260402384-12</v>
      </c>
      <c r="C10" s="14" t="str">
        <f t="shared" si="1"/>
        <v>Right Edge</v>
      </c>
      <c r="D10" s="14">
        <f t="shared" si="2"/>
        <v>4</v>
      </c>
      <c r="E10" s="14" t="str">
        <f t="shared" si="3"/>
        <v>②</v>
      </c>
      <c r="F10" s="10">
        <f t="shared" si="4"/>
        <v>6.6</v>
      </c>
      <c r="G10" s="11" t="str">
        <f t="shared" si="5"/>
        <v>破断状態B</v>
      </c>
    </row>
    <row r="11" spans="1:7">
      <c r="A11" s="9" t="s">
        <v>25</v>
      </c>
      <c r="B11" s="14" t="str">
        <f t="shared" si="0"/>
        <v>CE260402384-12</v>
      </c>
      <c r="C11" s="14" t="str">
        <f t="shared" si="1"/>
        <v>Right Edge</v>
      </c>
      <c r="D11" s="14">
        <f t="shared" si="2"/>
        <v>5</v>
      </c>
      <c r="E11" s="14" t="str">
        <f t="shared" si="3"/>
        <v>②</v>
      </c>
      <c r="F11" s="10">
        <f t="shared" si="4"/>
        <v>7.07</v>
      </c>
      <c r="G11" s="11" t="str">
        <f t="shared" si="5"/>
        <v>破断状態A</v>
      </c>
    </row>
    <row r="12" spans="1:7">
      <c r="A12" s="9" t="s">
        <v>26</v>
      </c>
      <c r="B12" s="14" t="str">
        <f t="shared" si="0"/>
        <v>DCH003484-50</v>
      </c>
      <c r="C12" s="14" t="str">
        <f t="shared" si="1"/>
        <v>Right Edge</v>
      </c>
      <c r="D12" s="14">
        <f t="shared" si="2"/>
        <v>1</v>
      </c>
      <c r="E12" s="14" t="str">
        <f t="shared" si="3"/>
        <v>③</v>
      </c>
      <c r="F12" s="10">
        <f t="shared" si="4"/>
        <v>6.64</v>
      </c>
      <c r="G12" s="11" t="str">
        <f t="shared" si="5"/>
        <v>破断状態A</v>
      </c>
    </row>
    <row r="13" spans="1:7">
      <c r="A13" s="9" t="s">
        <v>27</v>
      </c>
      <c r="B13" s="14" t="str">
        <f t="shared" si="0"/>
        <v>DCH003484-50</v>
      </c>
      <c r="C13" s="14" t="str">
        <f t="shared" si="1"/>
        <v>Right Edge</v>
      </c>
      <c r="D13" s="14">
        <f t="shared" si="2"/>
        <v>2</v>
      </c>
      <c r="E13" s="14" t="str">
        <f t="shared" si="3"/>
        <v>③</v>
      </c>
      <c r="F13" s="10">
        <f t="shared" si="4"/>
        <v>9.4700000000000006</v>
      </c>
      <c r="G13" s="11" t="str">
        <f t="shared" si="5"/>
        <v>破断状態C</v>
      </c>
    </row>
    <row r="14" spans="1:7">
      <c r="A14" s="9" t="s">
        <v>28</v>
      </c>
      <c r="B14" s="14" t="str">
        <f t="shared" si="0"/>
        <v>DCH003484-50</v>
      </c>
      <c r="C14" s="14" t="str">
        <f t="shared" si="1"/>
        <v>Right Edge</v>
      </c>
      <c r="D14" s="14">
        <f t="shared" si="2"/>
        <v>3</v>
      </c>
      <c r="E14" s="14" t="str">
        <f t="shared" si="3"/>
        <v>③</v>
      </c>
      <c r="F14" s="10">
        <f t="shared" si="4"/>
        <v>3.14</v>
      </c>
      <c r="G14" s="11" t="str">
        <f t="shared" si="5"/>
        <v>破断状態A</v>
      </c>
    </row>
    <row r="15" spans="1:7">
      <c r="A15" s="9" t="s">
        <v>29</v>
      </c>
      <c r="B15" s="14" t="str">
        <f t="shared" si="0"/>
        <v>DCH003484-50</v>
      </c>
      <c r="C15" s="14" t="str">
        <f t="shared" si="1"/>
        <v>Right Edge</v>
      </c>
      <c r="D15" s="14">
        <f t="shared" si="2"/>
        <v>4</v>
      </c>
      <c r="E15" s="14" t="str">
        <f t="shared" si="3"/>
        <v>③</v>
      </c>
      <c r="F15" s="10">
        <f t="shared" si="4"/>
        <v>0.49</v>
      </c>
      <c r="G15" s="11" t="str">
        <f t="shared" si="5"/>
        <v>破断状態A</v>
      </c>
    </row>
    <row r="16" spans="1:7">
      <c r="A16" s="9" t="s">
        <v>30</v>
      </c>
      <c r="B16" s="14" t="str">
        <f t="shared" si="0"/>
        <v>DCH003484-50</v>
      </c>
      <c r="C16" s="14" t="str">
        <f t="shared" si="1"/>
        <v>Right Edge</v>
      </c>
      <c r="D16" s="14">
        <f t="shared" si="2"/>
        <v>5</v>
      </c>
      <c r="E16" s="14" t="str">
        <f t="shared" si="3"/>
        <v>③</v>
      </c>
      <c r="F16" s="10">
        <f t="shared" si="4"/>
        <v>7.64</v>
      </c>
      <c r="G16" s="11" t="str">
        <f t="shared" si="5"/>
        <v>破断状態C</v>
      </c>
    </row>
    <row r="17" spans="1:7">
      <c r="A17" s="9" t="s">
        <v>31</v>
      </c>
      <c r="B17" s="14" t="str">
        <f t="shared" si="0"/>
        <v>DCH003484-50</v>
      </c>
      <c r="C17" s="14" t="str">
        <f t="shared" si="1"/>
        <v>Top Edge</v>
      </c>
      <c r="D17" s="14">
        <f t="shared" si="2"/>
        <v>1</v>
      </c>
      <c r="E17" s="14" t="str">
        <f t="shared" si="3"/>
        <v>①</v>
      </c>
      <c r="F17" s="10">
        <f t="shared" si="4"/>
        <v>1.86</v>
      </c>
      <c r="G17" s="11" t="str">
        <f t="shared" si="5"/>
        <v>破断状態A</v>
      </c>
    </row>
    <row r="18" spans="1:7">
      <c r="A18" s="9" t="s">
        <v>32</v>
      </c>
      <c r="B18" s="14" t="str">
        <f t="shared" si="0"/>
        <v>DCH003484-50</v>
      </c>
      <c r="C18" s="14" t="str">
        <f t="shared" si="1"/>
        <v>Top Edge</v>
      </c>
      <c r="D18" s="14">
        <f t="shared" si="2"/>
        <v>2</v>
      </c>
      <c r="E18" s="14" t="str">
        <f t="shared" si="3"/>
        <v>①</v>
      </c>
      <c r="F18" s="10">
        <f t="shared" si="4"/>
        <v>2.69</v>
      </c>
      <c r="G18" s="11" t="str">
        <f t="shared" si="5"/>
        <v>破断状態C</v>
      </c>
    </row>
    <row r="19" spans="1:7">
      <c r="A19" s="9" t="s">
        <v>33</v>
      </c>
      <c r="B19" s="14" t="str">
        <f t="shared" si="0"/>
        <v>DCH003484-50</v>
      </c>
      <c r="C19" s="14" t="str">
        <f t="shared" si="1"/>
        <v>Top Edge</v>
      </c>
      <c r="D19" s="14">
        <f t="shared" si="2"/>
        <v>3</v>
      </c>
      <c r="E19" s="14" t="str">
        <f t="shared" si="3"/>
        <v>①</v>
      </c>
      <c r="F19" s="10">
        <f t="shared" si="4"/>
        <v>2.98</v>
      </c>
      <c r="G19" s="11" t="str">
        <f t="shared" si="5"/>
        <v>破断状態C</v>
      </c>
    </row>
    <row r="20" spans="1:7">
      <c r="A20" s="9" t="s">
        <v>34</v>
      </c>
      <c r="B20" s="14" t="str">
        <f t="shared" si="0"/>
        <v>DCH003484-50</v>
      </c>
      <c r="C20" s="14" t="str">
        <f t="shared" si="1"/>
        <v>Top Edge</v>
      </c>
      <c r="D20" s="14">
        <f t="shared" si="2"/>
        <v>4</v>
      </c>
      <c r="E20" s="14" t="str">
        <f t="shared" si="3"/>
        <v>①</v>
      </c>
      <c r="F20" s="10">
        <f t="shared" si="4"/>
        <v>7.56</v>
      </c>
      <c r="G20" s="11" t="str">
        <f t="shared" si="5"/>
        <v>破断状態A</v>
      </c>
    </row>
    <row r="21" spans="1:7">
      <c r="A21" s="9" t="s">
        <v>35</v>
      </c>
      <c r="B21" s="14" t="str">
        <f t="shared" si="0"/>
        <v>DCH003484-50</v>
      </c>
      <c r="C21" s="14" t="str">
        <f t="shared" si="1"/>
        <v>Top Edge</v>
      </c>
      <c r="D21" s="14">
        <f t="shared" si="2"/>
        <v>5</v>
      </c>
      <c r="E21" s="14" t="str">
        <f t="shared" si="3"/>
        <v>①</v>
      </c>
      <c r="F21" s="10">
        <f t="shared" si="4"/>
        <v>9.27</v>
      </c>
      <c r="G21" s="11" t="str">
        <f t="shared" si="5"/>
        <v>破断状態B</v>
      </c>
    </row>
  </sheetData>
  <autoFilter ref="A1:G6" xr:uid="{00000000-0009-0000-0000-000002000000}"/>
  <phoneticPr fontId="8"/>
  <pageMargins left="0.75" right="0.75" top="1" bottom="1" header="0.5" footer="0.5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操作</vt:lpstr>
      <vt:lpstr>filelist</vt:lpstr>
      <vt:lpstr>貼り付け場所変換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佳明 福士</cp:lastModifiedBy>
  <dcterms:created xsi:type="dcterms:W3CDTF">2026-03-15T02:22:39Z</dcterms:created>
  <dcterms:modified xsi:type="dcterms:W3CDTF">2026-03-20T01:24:05Z</dcterms:modified>
</cp:coreProperties>
</file>