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ica/Documents/_memory_AI/projects/転職用GITHUB/"/>
    </mc:Choice>
  </mc:AlternateContent>
  <xr:revisionPtr revIDLastSave="0" documentId="13_ncr:1_{2E38E1E5-F444-1748-AC65-CA1D780D22CA}" xr6:coauthVersionLast="47" xr6:coauthVersionMax="47" xr10:uidLastSave="{00000000-0000-0000-0000-000000000000}"/>
  <bookViews>
    <workbookView xWindow="0" yWindow="500" windowWidth="33880" windowHeight="18600" activeTab="2" xr2:uid="{00000000-000D-0000-FFFF-FFFF00000000}"/>
  </bookViews>
  <sheets>
    <sheet name="操作" sheetId="1" r:id="rId1"/>
    <sheet name="filelist" sheetId="2" r:id="rId2"/>
    <sheet name="バリ測定変換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1" i="5" l="1"/>
  <c r="G201" i="5"/>
  <c r="F201" i="5"/>
  <c r="E201" i="5"/>
  <c r="D201" i="5"/>
  <c r="C201" i="5"/>
  <c r="B201" i="5"/>
  <c r="H200" i="5"/>
  <c r="G200" i="5"/>
  <c r="F200" i="5"/>
  <c r="E200" i="5"/>
  <c r="D200" i="5"/>
  <c r="C200" i="5"/>
  <c r="B200" i="5"/>
  <c r="H199" i="5"/>
  <c r="G199" i="5"/>
  <c r="F199" i="5"/>
  <c r="E199" i="5"/>
  <c r="D199" i="5"/>
  <c r="C199" i="5"/>
  <c r="B199" i="5"/>
  <c r="H198" i="5"/>
  <c r="G198" i="5"/>
  <c r="F198" i="5"/>
  <c r="E198" i="5"/>
  <c r="D198" i="5"/>
  <c r="C198" i="5"/>
  <c r="B198" i="5"/>
  <c r="H197" i="5"/>
  <c r="G197" i="5"/>
  <c r="F197" i="5"/>
  <c r="E197" i="5"/>
  <c r="D197" i="5"/>
  <c r="C197" i="5"/>
  <c r="B197" i="5"/>
  <c r="H196" i="5"/>
  <c r="G196" i="5"/>
  <c r="F196" i="5"/>
  <c r="E196" i="5"/>
  <c r="D196" i="5"/>
  <c r="C196" i="5"/>
  <c r="B196" i="5"/>
  <c r="H195" i="5"/>
  <c r="G195" i="5"/>
  <c r="F195" i="5"/>
  <c r="E195" i="5"/>
  <c r="D195" i="5"/>
  <c r="C195" i="5"/>
  <c r="B195" i="5"/>
  <c r="H194" i="5"/>
  <c r="G194" i="5"/>
  <c r="F194" i="5"/>
  <c r="E194" i="5"/>
  <c r="D194" i="5"/>
  <c r="C194" i="5"/>
  <c r="B194" i="5"/>
  <c r="H193" i="5"/>
  <c r="G193" i="5"/>
  <c r="F193" i="5"/>
  <c r="E193" i="5"/>
  <c r="D193" i="5"/>
  <c r="C193" i="5"/>
  <c r="B193" i="5"/>
  <c r="H192" i="5"/>
  <c r="G192" i="5"/>
  <c r="F192" i="5"/>
  <c r="E192" i="5"/>
  <c r="D192" i="5"/>
  <c r="C192" i="5"/>
  <c r="B192" i="5"/>
  <c r="H191" i="5"/>
  <c r="G191" i="5"/>
  <c r="F191" i="5"/>
  <c r="E191" i="5"/>
  <c r="D191" i="5"/>
  <c r="C191" i="5"/>
  <c r="B191" i="5"/>
  <c r="H190" i="5"/>
  <c r="G190" i="5"/>
  <c r="F190" i="5"/>
  <c r="E190" i="5"/>
  <c r="D190" i="5"/>
  <c r="C190" i="5"/>
  <c r="B190" i="5"/>
  <c r="H189" i="5"/>
  <c r="G189" i="5"/>
  <c r="F189" i="5"/>
  <c r="E189" i="5"/>
  <c r="D189" i="5"/>
  <c r="C189" i="5"/>
  <c r="B189" i="5"/>
  <c r="H188" i="5"/>
  <c r="G188" i="5"/>
  <c r="F188" i="5"/>
  <c r="E188" i="5"/>
  <c r="D188" i="5"/>
  <c r="C188" i="5"/>
  <c r="B188" i="5"/>
  <c r="H187" i="5"/>
  <c r="G187" i="5"/>
  <c r="F187" i="5"/>
  <c r="E187" i="5"/>
  <c r="D187" i="5"/>
  <c r="C187" i="5"/>
  <c r="B187" i="5"/>
  <c r="H186" i="5"/>
  <c r="G186" i="5"/>
  <c r="F186" i="5"/>
  <c r="E186" i="5"/>
  <c r="D186" i="5"/>
  <c r="C186" i="5"/>
  <c r="B186" i="5"/>
  <c r="H185" i="5"/>
  <c r="G185" i="5"/>
  <c r="F185" i="5"/>
  <c r="E185" i="5"/>
  <c r="D185" i="5"/>
  <c r="C185" i="5"/>
  <c r="B185" i="5"/>
  <c r="H184" i="5"/>
  <c r="G184" i="5"/>
  <c r="F184" i="5"/>
  <c r="E184" i="5"/>
  <c r="D184" i="5"/>
  <c r="C184" i="5"/>
  <c r="B184" i="5"/>
  <c r="H183" i="5"/>
  <c r="G183" i="5"/>
  <c r="F183" i="5"/>
  <c r="E183" i="5"/>
  <c r="D183" i="5"/>
  <c r="C183" i="5"/>
  <c r="B183" i="5"/>
  <c r="H182" i="5"/>
  <c r="G182" i="5"/>
  <c r="F182" i="5"/>
  <c r="E182" i="5"/>
  <c r="D182" i="5"/>
  <c r="C182" i="5"/>
  <c r="B182" i="5"/>
  <c r="H181" i="5"/>
  <c r="G181" i="5"/>
  <c r="F181" i="5"/>
  <c r="E181" i="5"/>
  <c r="D181" i="5"/>
  <c r="C181" i="5"/>
  <c r="B181" i="5"/>
  <c r="H180" i="5"/>
  <c r="G180" i="5"/>
  <c r="F180" i="5"/>
  <c r="E180" i="5"/>
  <c r="D180" i="5"/>
  <c r="C180" i="5"/>
  <c r="B180" i="5"/>
  <c r="H179" i="5"/>
  <c r="G179" i="5"/>
  <c r="F179" i="5"/>
  <c r="E179" i="5"/>
  <c r="D179" i="5"/>
  <c r="C179" i="5"/>
  <c r="B179" i="5"/>
  <c r="H178" i="5"/>
  <c r="G178" i="5"/>
  <c r="F178" i="5"/>
  <c r="E178" i="5"/>
  <c r="D178" i="5"/>
  <c r="C178" i="5"/>
  <c r="B178" i="5"/>
  <c r="H177" i="5"/>
  <c r="G177" i="5"/>
  <c r="F177" i="5"/>
  <c r="E177" i="5"/>
  <c r="D177" i="5"/>
  <c r="C177" i="5"/>
  <c r="B177" i="5"/>
  <c r="H176" i="5"/>
  <c r="G176" i="5"/>
  <c r="F176" i="5"/>
  <c r="E176" i="5"/>
  <c r="D176" i="5"/>
  <c r="C176" i="5"/>
  <c r="B176" i="5"/>
  <c r="H175" i="5"/>
  <c r="G175" i="5"/>
  <c r="F175" i="5"/>
  <c r="E175" i="5"/>
  <c r="D175" i="5"/>
  <c r="C175" i="5"/>
  <c r="B175" i="5"/>
  <c r="H174" i="5"/>
  <c r="G174" i="5"/>
  <c r="F174" i="5"/>
  <c r="E174" i="5"/>
  <c r="D174" i="5"/>
  <c r="C174" i="5"/>
  <c r="B174" i="5"/>
  <c r="H173" i="5"/>
  <c r="G173" i="5"/>
  <c r="F173" i="5"/>
  <c r="E173" i="5"/>
  <c r="D173" i="5"/>
  <c r="C173" i="5"/>
  <c r="B173" i="5"/>
  <c r="H172" i="5"/>
  <c r="G172" i="5"/>
  <c r="F172" i="5"/>
  <c r="E172" i="5"/>
  <c r="D172" i="5"/>
  <c r="C172" i="5"/>
  <c r="B172" i="5"/>
  <c r="H171" i="5"/>
  <c r="G171" i="5"/>
  <c r="F171" i="5"/>
  <c r="E171" i="5"/>
  <c r="D171" i="5"/>
  <c r="C171" i="5"/>
  <c r="B171" i="5"/>
  <c r="H170" i="5"/>
  <c r="G170" i="5"/>
  <c r="F170" i="5"/>
  <c r="E170" i="5"/>
  <c r="D170" i="5"/>
  <c r="C170" i="5"/>
  <c r="B170" i="5"/>
  <c r="H169" i="5"/>
  <c r="G169" i="5"/>
  <c r="F169" i="5"/>
  <c r="E169" i="5"/>
  <c r="D169" i="5"/>
  <c r="C169" i="5"/>
  <c r="B169" i="5"/>
  <c r="H168" i="5"/>
  <c r="G168" i="5"/>
  <c r="F168" i="5"/>
  <c r="E168" i="5"/>
  <c r="D168" i="5"/>
  <c r="C168" i="5"/>
  <c r="B168" i="5"/>
  <c r="H167" i="5"/>
  <c r="G167" i="5"/>
  <c r="F167" i="5"/>
  <c r="E167" i="5"/>
  <c r="D167" i="5"/>
  <c r="C167" i="5"/>
  <c r="B167" i="5"/>
  <c r="H166" i="5"/>
  <c r="G166" i="5"/>
  <c r="F166" i="5"/>
  <c r="E166" i="5"/>
  <c r="D166" i="5"/>
  <c r="C166" i="5"/>
  <c r="B166" i="5"/>
  <c r="H165" i="5"/>
  <c r="G165" i="5"/>
  <c r="F165" i="5"/>
  <c r="E165" i="5"/>
  <c r="D165" i="5"/>
  <c r="C165" i="5"/>
  <c r="B165" i="5"/>
  <c r="H164" i="5"/>
  <c r="G164" i="5"/>
  <c r="F164" i="5"/>
  <c r="E164" i="5"/>
  <c r="D164" i="5"/>
  <c r="C164" i="5"/>
  <c r="B164" i="5"/>
  <c r="H163" i="5"/>
  <c r="G163" i="5"/>
  <c r="F163" i="5"/>
  <c r="E163" i="5"/>
  <c r="D163" i="5"/>
  <c r="C163" i="5"/>
  <c r="B163" i="5"/>
  <c r="H162" i="5"/>
  <c r="G162" i="5"/>
  <c r="F162" i="5"/>
  <c r="E162" i="5"/>
  <c r="D162" i="5"/>
  <c r="C162" i="5"/>
  <c r="B162" i="5"/>
  <c r="H161" i="5"/>
  <c r="G161" i="5"/>
  <c r="F161" i="5"/>
  <c r="E161" i="5"/>
  <c r="D161" i="5"/>
  <c r="C161" i="5"/>
  <c r="B161" i="5"/>
  <c r="H160" i="5"/>
  <c r="G160" i="5"/>
  <c r="F160" i="5"/>
  <c r="E160" i="5"/>
  <c r="D160" i="5"/>
  <c r="C160" i="5"/>
  <c r="B160" i="5"/>
  <c r="H159" i="5"/>
  <c r="G159" i="5"/>
  <c r="F159" i="5"/>
  <c r="E159" i="5"/>
  <c r="D159" i="5"/>
  <c r="C159" i="5"/>
  <c r="B159" i="5"/>
  <c r="H158" i="5"/>
  <c r="G158" i="5"/>
  <c r="F158" i="5"/>
  <c r="E158" i="5"/>
  <c r="D158" i="5"/>
  <c r="C158" i="5"/>
  <c r="B158" i="5"/>
  <c r="H157" i="5"/>
  <c r="G157" i="5"/>
  <c r="F157" i="5"/>
  <c r="E157" i="5"/>
  <c r="D157" i="5"/>
  <c r="C157" i="5"/>
  <c r="B157" i="5"/>
  <c r="H156" i="5"/>
  <c r="G156" i="5"/>
  <c r="F156" i="5"/>
  <c r="E156" i="5"/>
  <c r="D156" i="5"/>
  <c r="C156" i="5"/>
  <c r="B156" i="5"/>
  <c r="H155" i="5"/>
  <c r="G155" i="5"/>
  <c r="F155" i="5"/>
  <c r="E155" i="5"/>
  <c r="D155" i="5"/>
  <c r="C155" i="5"/>
  <c r="B155" i="5"/>
  <c r="H154" i="5"/>
  <c r="G154" i="5"/>
  <c r="F154" i="5"/>
  <c r="E154" i="5"/>
  <c r="D154" i="5"/>
  <c r="C154" i="5"/>
  <c r="B154" i="5"/>
  <c r="H153" i="5"/>
  <c r="G153" i="5"/>
  <c r="F153" i="5"/>
  <c r="E153" i="5"/>
  <c r="D153" i="5"/>
  <c r="C153" i="5"/>
  <c r="B153" i="5"/>
  <c r="H152" i="5"/>
  <c r="G152" i="5"/>
  <c r="F152" i="5"/>
  <c r="E152" i="5"/>
  <c r="D152" i="5"/>
  <c r="C152" i="5"/>
  <c r="B152" i="5"/>
  <c r="H151" i="5"/>
  <c r="G151" i="5"/>
  <c r="F151" i="5"/>
  <c r="E151" i="5"/>
  <c r="D151" i="5"/>
  <c r="C151" i="5"/>
  <c r="B151" i="5"/>
  <c r="H150" i="5"/>
  <c r="G150" i="5"/>
  <c r="F150" i="5"/>
  <c r="E150" i="5"/>
  <c r="D150" i="5"/>
  <c r="C150" i="5"/>
  <c r="B150" i="5"/>
  <c r="H149" i="5"/>
  <c r="G149" i="5"/>
  <c r="F149" i="5"/>
  <c r="E149" i="5"/>
  <c r="D149" i="5"/>
  <c r="C149" i="5"/>
  <c r="B149" i="5"/>
  <c r="H148" i="5"/>
  <c r="G148" i="5"/>
  <c r="F148" i="5"/>
  <c r="E148" i="5"/>
  <c r="D148" i="5"/>
  <c r="C148" i="5"/>
  <c r="B148" i="5"/>
  <c r="H147" i="5"/>
  <c r="G147" i="5"/>
  <c r="F147" i="5"/>
  <c r="E147" i="5"/>
  <c r="D147" i="5"/>
  <c r="C147" i="5"/>
  <c r="B147" i="5"/>
  <c r="H146" i="5"/>
  <c r="G146" i="5"/>
  <c r="F146" i="5"/>
  <c r="E146" i="5"/>
  <c r="D146" i="5"/>
  <c r="C146" i="5"/>
  <c r="B146" i="5"/>
  <c r="H145" i="5"/>
  <c r="G145" i="5"/>
  <c r="F145" i="5"/>
  <c r="E145" i="5"/>
  <c r="D145" i="5"/>
  <c r="C145" i="5"/>
  <c r="B145" i="5"/>
  <c r="H144" i="5"/>
  <c r="G144" i="5"/>
  <c r="F144" i="5"/>
  <c r="E144" i="5"/>
  <c r="D144" i="5"/>
  <c r="C144" i="5"/>
  <c r="B144" i="5"/>
  <c r="H143" i="5"/>
  <c r="G143" i="5"/>
  <c r="F143" i="5"/>
  <c r="E143" i="5"/>
  <c r="D143" i="5"/>
  <c r="C143" i="5"/>
  <c r="B143" i="5"/>
  <c r="H142" i="5"/>
  <c r="G142" i="5"/>
  <c r="F142" i="5"/>
  <c r="E142" i="5"/>
  <c r="D142" i="5"/>
  <c r="C142" i="5"/>
  <c r="B142" i="5"/>
  <c r="H141" i="5"/>
  <c r="G141" i="5"/>
  <c r="F141" i="5"/>
  <c r="E141" i="5"/>
  <c r="D141" i="5"/>
  <c r="C141" i="5"/>
  <c r="B141" i="5"/>
  <c r="H140" i="5"/>
  <c r="G140" i="5"/>
  <c r="F140" i="5"/>
  <c r="E140" i="5"/>
  <c r="D140" i="5"/>
  <c r="C140" i="5"/>
  <c r="B140" i="5"/>
  <c r="H139" i="5"/>
  <c r="G139" i="5"/>
  <c r="F139" i="5"/>
  <c r="E139" i="5"/>
  <c r="D139" i="5"/>
  <c r="C139" i="5"/>
  <c r="B139" i="5"/>
  <c r="H138" i="5"/>
  <c r="G138" i="5"/>
  <c r="F138" i="5"/>
  <c r="E138" i="5"/>
  <c r="D138" i="5"/>
  <c r="C138" i="5"/>
  <c r="B138" i="5"/>
  <c r="H137" i="5"/>
  <c r="G137" i="5"/>
  <c r="F137" i="5"/>
  <c r="E137" i="5"/>
  <c r="D137" i="5"/>
  <c r="C137" i="5"/>
  <c r="B137" i="5"/>
  <c r="H136" i="5"/>
  <c r="G136" i="5"/>
  <c r="F136" i="5"/>
  <c r="E136" i="5"/>
  <c r="D136" i="5"/>
  <c r="C136" i="5"/>
  <c r="B136" i="5"/>
  <c r="H135" i="5"/>
  <c r="G135" i="5"/>
  <c r="F135" i="5"/>
  <c r="E135" i="5"/>
  <c r="D135" i="5"/>
  <c r="C135" i="5"/>
  <c r="B135" i="5"/>
  <c r="H134" i="5"/>
  <c r="G134" i="5"/>
  <c r="F134" i="5"/>
  <c r="E134" i="5"/>
  <c r="D134" i="5"/>
  <c r="C134" i="5"/>
  <c r="B134" i="5"/>
  <c r="H133" i="5"/>
  <c r="G133" i="5"/>
  <c r="F133" i="5"/>
  <c r="E133" i="5"/>
  <c r="D133" i="5"/>
  <c r="C133" i="5"/>
  <c r="B133" i="5"/>
  <c r="H132" i="5"/>
  <c r="G132" i="5"/>
  <c r="F132" i="5"/>
  <c r="E132" i="5"/>
  <c r="D132" i="5"/>
  <c r="C132" i="5"/>
  <c r="B132" i="5"/>
  <c r="H131" i="5"/>
  <c r="G131" i="5"/>
  <c r="F131" i="5"/>
  <c r="E131" i="5"/>
  <c r="D131" i="5"/>
  <c r="C131" i="5"/>
  <c r="B131" i="5"/>
  <c r="H130" i="5"/>
  <c r="G130" i="5"/>
  <c r="F130" i="5"/>
  <c r="E130" i="5"/>
  <c r="D130" i="5"/>
  <c r="C130" i="5"/>
  <c r="B130" i="5"/>
  <c r="H129" i="5"/>
  <c r="G129" i="5"/>
  <c r="F129" i="5"/>
  <c r="E129" i="5"/>
  <c r="D129" i="5"/>
  <c r="C129" i="5"/>
  <c r="B129" i="5"/>
  <c r="H128" i="5"/>
  <c r="G128" i="5"/>
  <c r="F128" i="5"/>
  <c r="E128" i="5"/>
  <c r="D128" i="5"/>
  <c r="C128" i="5"/>
  <c r="B128" i="5"/>
  <c r="H127" i="5"/>
  <c r="G127" i="5"/>
  <c r="F127" i="5"/>
  <c r="E127" i="5"/>
  <c r="D127" i="5"/>
  <c r="C127" i="5"/>
  <c r="B127" i="5"/>
  <c r="H126" i="5"/>
  <c r="G126" i="5"/>
  <c r="F126" i="5"/>
  <c r="E126" i="5"/>
  <c r="D126" i="5"/>
  <c r="C126" i="5"/>
  <c r="B126" i="5"/>
  <c r="H125" i="5"/>
  <c r="G125" i="5"/>
  <c r="F125" i="5"/>
  <c r="E125" i="5"/>
  <c r="D125" i="5"/>
  <c r="C125" i="5"/>
  <c r="B125" i="5"/>
  <c r="H124" i="5"/>
  <c r="G124" i="5"/>
  <c r="F124" i="5"/>
  <c r="E124" i="5"/>
  <c r="D124" i="5"/>
  <c r="C124" i="5"/>
  <c r="B124" i="5"/>
  <c r="H123" i="5"/>
  <c r="G123" i="5"/>
  <c r="F123" i="5"/>
  <c r="E123" i="5"/>
  <c r="D123" i="5"/>
  <c r="C123" i="5"/>
  <c r="B123" i="5"/>
  <c r="H122" i="5"/>
  <c r="G122" i="5"/>
  <c r="F122" i="5"/>
  <c r="E122" i="5"/>
  <c r="D122" i="5"/>
  <c r="C122" i="5"/>
  <c r="B122" i="5"/>
  <c r="H121" i="5"/>
  <c r="G121" i="5"/>
  <c r="F121" i="5"/>
  <c r="E121" i="5"/>
  <c r="D121" i="5"/>
  <c r="C121" i="5"/>
  <c r="B121" i="5"/>
  <c r="H120" i="5"/>
  <c r="G120" i="5"/>
  <c r="F120" i="5"/>
  <c r="E120" i="5"/>
  <c r="D120" i="5"/>
  <c r="C120" i="5"/>
  <c r="B120" i="5"/>
  <c r="H119" i="5"/>
  <c r="G119" i="5"/>
  <c r="F119" i="5"/>
  <c r="E119" i="5"/>
  <c r="D119" i="5"/>
  <c r="C119" i="5"/>
  <c r="B119" i="5"/>
  <c r="H118" i="5"/>
  <c r="G118" i="5"/>
  <c r="F118" i="5"/>
  <c r="E118" i="5"/>
  <c r="D118" i="5"/>
  <c r="C118" i="5"/>
  <c r="B118" i="5"/>
  <c r="H117" i="5"/>
  <c r="G117" i="5"/>
  <c r="F117" i="5"/>
  <c r="E117" i="5"/>
  <c r="D117" i="5"/>
  <c r="C117" i="5"/>
  <c r="B117" i="5"/>
  <c r="H116" i="5"/>
  <c r="G116" i="5"/>
  <c r="F116" i="5"/>
  <c r="E116" i="5"/>
  <c r="D116" i="5"/>
  <c r="C116" i="5"/>
  <c r="B116" i="5"/>
  <c r="H115" i="5"/>
  <c r="G115" i="5"/>
  <c r="F115" i="5"/>
  <c r="E115" i="5"/>
  <c r="D115" i="5"/>
  <c r="C115" i="5"/>
  <c r="B115" i="5"/>
  <c r="H114" i="5"/>
  <c r="G114" i="5"/>
  <c r="F114" i="5"/>
  <c r="E114" i="5"/>
  <c r="D114" i="5"/>
  <c r="C114" i="5"/>
  <c r="B114" i="5"/>
  <c r="H113" i="5"/>
  <c r="G113" i="5"/>
  <c r="F113" i="5"/>
  <c r="E113" i="5"/>
  <c r="D113" i="5"/>
  <c r="C113" i="5"/>
  <c r="B113" i="5"/>
  <c r="H112" i="5"/>
  <c r="G112" i="5"/>
  <c r="F112" i="5"/>
  <c r="E112" i="5"/>
  <c r="D112" i="5"/>
  <c r="C112" i="5"/>
  <c r="B112" i="5"/>
  <c r="H111" i="5"/>
  <c r="G111" i="5"/>
  <c r="F111" i="5"/>
  <c r="E111" i="5"/>
  <c r="D111" i="5"/>
  <c r="C111" i="5"/>
  <c r="B111" i="5"/>
  <c r="H110" i="5"/>
  <c r="G110" i="5"/>
  <c r="F110" i="5"/>
  <c r="E110" i="5"/>
  <c r="D110" i="5"/>
  <c r="C110" i="5"/>
  <c r="B110" i="5"/>
  <c r="H109" i="5"/>
  <c r="G109" i="5"/>
  <c r="F109" i="5"/>
  <c r="E109" i="5"/>
  <c r="D109" i="5"/>
  <c r="C109" i="5"/>
  <c r="B109" i="5"/>
  <c r="H108" i="5"/>
  <c r="G108" i="5"/>
  <c r="F108" i="5"/>
  <c r="E108" i="5"/>
  <c r="D108" i="5"/>
  <c r="C108" i="5"/>
  <c r="B108" i="5"/>
  <c r="H107" i="5"/>
  <c r="G107" i="5"/>
  <c r="F107" i="5"/>
  <c r="E107" i="5"/>
  <c r="D107" i="5"/>
  <c r="C107" i="5"/>
  <c r="B107" i="5"/>
  <c r="H106" i="5"/>
  <c r="G106" i="5"/>
  <c r="F106" i="5"/>
  <c r="E106" i="5"/>
  <c r="D106" i="5"/>
  <c r="C106" i="5"/>
  <c r="B106" i="5"/>
  <c r="H105" i="5"/>
  <c r="G105" i="5"/>
  <c r="F105" i="5"/>
  <c r="E105" i="5"/>
  <c r="D105" i="5"/>
  <c r="C105" i="5"/>
  <c r="B105" i="5"/>
  <c r="H104" i="5"/>
  <c r="G104" i="5"/>
  <c r="F104" i="5"/>
  <c r="E104" i="5"/>
  <c r="D104" i="5"/>
  <c r="C104" i="5"/>
  <c r="B104" i="5"/>
  <c r="H103" i="5"/>
  <c r="G103" i="5"/>
  <c r="F103" i="5"/>
  <c r="E103" i="5"/>
  <c r="D103" i="5"/>
  <c r="C103" i="5"/>
  <c r="B103" i="5"/>
  <c r="H102" i="5"/>
  <c r="G102" i="5"/>
  <c r="F102" i="5"/>
  <c r="E102" i="5"/>
  <c r="D102" i="5"/>
  <c r="C102" i="5"/>
  <c r="B102" i="5"/>
  <c r="H101" i="5"/>
  <c r="G101" i="5"/>
  <c r="F101" i="5"/>
  <c r="E101" i="5"/>
  <c r="D101" i="5"/>
  <c r="C101" i="5"/>
  <c r="B101" i="5"/>
  <c r="H100" i="5"/>
  <c r="G100" i="5"/>
  <c r="F100" i="5"/>
  <c r="E100" i="5"/>
  <c r="D100" i="5"/>
  <c r="C100" i="5"/>
  <c r="B100" i="5"/>
  <c r="H99" i="5"/>
  <c r="G99" i="5"/>
  <c r="F99" i="5"/>
  <c r="E99" i="5"/>
  <c r="D99" i="5"/>
  <c r="C99" i="5"/>
  <c r="B99" i="5"/>
  <c r="H98" i="5"/>
  <c r="G98" i="5"/>
  <c r="F98" i="5"/>
  <c r="E98" i="5"/>
  <c r="D98" i="5"/>
  <c r="C98" i="5"/>
  <c r="B98" i="5"/>
  <c r="H97" i="5"/>
  <c r="G97" i="5"/>
  <c r="F97" i="5"/>
  <c r="E97" i="5"/>
  <c r="D97" i="5"/>
  <c r="C97" i="5"/>
  <c r="B97" i="5"/>
  <c r="H96" i="5"/>
  <c r="G96" i="5"/>
  <c r="F96" i="5"/>
  <c r="E96" i="5"/>
  <c r="D96" i="5"/>
  <c r="C96" i="5"/>
  <c r="B96" i="5"/>
  <c r="H95" i="5"/>
  <c r="G95" i="5"/>
  <c r="F95" i="5"/>
  <c r="E95" i="5"/>
  <c r="D95" i="5"/>
  <c r="C95" i="5"/>
  <c r="B95" i="5"/>
  <c r="H94" i="5"/>
  <c r="G94" i="5"/>
  <c r="F94" i="5"/>
  <c r="E94" i="5"/>
  <c r="D94" i="5"/>
  <c r="C94" i="5"/>
  <c r="B94" i="5"/>
  <c r="H93" i="5"/>
  <c r="G93" i="5"/>
  <c r="F93" i="5"/>
  <c r="E93" i="5"/>
  <c r="D93" i="5"/>
  <c r="C93" i="5"/>
  <c r="B93" i="5"/>
  <c r="H92" i="5"/>
  <c r="G92" i="5"/>
  <c r="F92" i="5"/>
  <c r="E92" i="5"/>
  <c r="D92" i="5"/>
  <c r="C92" i="5"/>
  <c r="B92" i="5"/>
  <c r="H91" i="5"/>
  <c r="G91" i="5"/>
  <c r="F91" i="5"/>
  <c r="E91" i="5"/>
  <c r="D91" i="5"/>
  <c r="C91" i="5"/>
  <c r="B91" i="5"/>
  <c r="H90" i="5"/>
  <c r="G90" i="5"/>
  <c r="F90" i="5"/>
  <c r="E90" i="5"/>
  <c r="D90" i="5"/>
  <c r="C90" i="5"/>
  <c r="B90" i="5"/>
  <c r="H89" i="5"/>
  <c r="G89" i="5"/>
  <c r="F89" i="5"/>
  <c r="E89" i="5"/>
  <c r="D89" i="5"/>
  <c r="C89" i="5"/>
  <c r="B89" i="5"/>
  <c r="H88" i="5"/>
  <c r="G88" i="5"/>
  <c r="F88" i="5"/>
  <c r="E88" i="5"/>
  <c r="D88" i="5"/>
  <c r="C88" i="5"/>
  <c r="B88" i="5"/>
  <c r="H87" i="5"/>
  <c r="G87" i="5"/>
  <c r="F87" i="5"/>
  <c r="E87" i="5"/>
  <c r="D87" i="5"/>
  <c r="C87" i="5"/>
  <c r="B87" i="5"/>
  <c r="H86" i="5"/>
  <c r="G86" i="5"/>
  <c r="F86" i="5"/>
  <c r="E86" i="5"/>
  <c r="D86" i="5"/>
  <c r="C86" i="5"/>
  <c r="B86" i="5"/>
  <c r="H85" i="5"/>
  <c r="G85" i="5"/>
  <c r="F85" i="5"/>
  <c r="E85" i="5"/>
  <c r="D85" i="5"/>
  <c r="C85" i="5"/>
  <c r="B85" i="5"/>
  <c r="H84" i="5"/>
  <c r="G84" i="5"/>
  <c r="F84" i="5"/>
  <c r="E84" i="5"/>
  <c r="D84" i="5"/>
  <c r="C84" i="5"/>
  <c r="B84" i="5"/>
  <c r="H83" i="5"/>
  <c r="G83" i="5"/>
  <c r="F83" i="5"/>
  <c r="E83" i="5"/>
  <c r="D83" i="5"/>
  <c r="C83" i="5"/>
  <c r="B83" i="5"/>
  <c r="H82" i="5"/>
  <c r="G82" i="5"/>
  <c r="F82" i="5"/>
  <c r="E82" i="5"/>
  <c r="D82" i="5"/>
  <c r="C82" i="5"/>
  <c r="B82" i="5"/>
  <c r="H81" i="5"/>
  <c r="G81" i="5"/>
  <c r="F81" i="5"/>
  <c r="E81" i="5"/>
  <c r="D81" i="5"/>
  <c r="C81" i="5"/>
  <c r="B81" i="5"/>
  <c r="H80" i="5"/>
  <c r="G80" i="5"/>
  <c r="F80" i="5"/>
  <c r="E80" i="5"/>
  <c r="D80" i="5"/>
  <c r="C80" i="5"/>
  <c r="B80" i="5"/>
  <c r="H79" i="5"/>
  <c r="G79" i="5"/>
  <c r="F79" i="5"/>
  <c r="E79" i="5"/>
  <c r="D79" i="5"/>
  <c r="C79" i="5"/>
  <c r="B79" i="5"/>
  <c r="H78" i="5"/>
  <c r="G78" i="5"/>
  <c r="F78" i="5"/>
  <c r="E78" i="5"/>
  <c r="D78" i="5"/>
  <c r="C78" i="5"/>
  <c r="B78" i="5"/>
  <c r="H77" i="5"/>
  <c r="G77" i="5"/>
  <c r="F77" i="5"/>
  <c r="E77" i="5"/>
  <c r="D77" i="5"/>
  <c r="C77" i="5"/>
  <c r="B77" i="5"/>
  <c r="H76" i="5"/>
  <c r="G76" i="5"/>
  <c r="F76" i="5"/>
  <c r="E76" i="5"/>
  <c r="D76" i="5"/>
  <c r="C76" i="5"/>
  <c r="B76" i="5"/>
  <c r="H75" i="5"/>
  <c r="G75" i="5"/>
  <c r="F75" i="5"/>
  <c r="E75" i="5"/>
  <c r="D75" i="5"/>
  <c r="C75" i="5"/>
  <c r="B75" i="5"/>
  <c r="H74" i="5"/>
  <c r="G74" i="5"/>
  <c r="F74" i="5"/>
  <c r="E74" i="5"/>
  <c r="D74" i="5"/>
  <c r="C74" i="5"/>
  <c r="B74" i="5"/>
  <c r="H73" i="5"/>
  <c r="G73" i="5"/>
  <c r="F73" i="5"/>
  <c r="E73" i="5"/>
  <c r="D73" i="5"/>
  <c r="C73" i="5"/>
  <c r="B73" i="5"/>
  <c r="H72" i="5"/>
  <c r="G72" i="5"/>
  <c r="F72" i="5"/>
  <c r="E72" i="5"/>
  <c r="D72" i="5"/>
  <c r="C72" i="5"/>
  <c r="B72" i="5"/>
  <c r="H71" i="5"/>
  <c r="G71" i="5"/>
  <c r="F71" i="5"/>
  <c r="E71" i="5"/>
  <c r="D71" i="5"/>
  <c r="C71" i="5"/>
  <c r="B71" i="5"/>
  <c r="H70" i="5"/>
  <c r="G70" i="5"/>
  <c r="F70" i="5"/>
  <c r="E70" i="5"/>
  <c r="D70" i="5"/>
  <c r="C70" i="5"/>
  <c r="B70" i="5"/>
  <c r="H69" i="5"/>
  <c r="G69" i="5"/>
  <c r="F69" i="5"/>
  <c r="E69" i="5"/>
  <c r="D69" i="5"/>
  <c r="C69" i="5"/>
  <c r="B69" i="5"/>
  <c r="H68" i="5"/>
  <c r="G68" i="5"/>
  <c r="F68" i="5"/>
  <c r="E68" i="5"/>
  <c r="D68" i="5"/>
  <c r="C68" i="5"/>
  <c r="B68" i="5"/>
  <c r="H67" i="5"/>
  <c r="G67" i="5"/>
  <c r="F67" i="5"/>
  <c r="E67" i="5"/>
  <c r="D67" i="5"/>
  <c r="C67" i="5"/>
  <c r="B67" i="5"/>
  <c r="H66" i="5"/>
  <c r="G66" i="5"/>
  <c r="F66" i="5"/>
  <c r="E66" i="5"/>
  <c r="D66" i="5"/>
  <c r="C66" i="5"/>
  <c r="B66" i="5"/>
  <c r="H65" i="5"/>
  <c r="G65" i="5"/>
  <c r="F65" i="5"/>
  <c r="E65" i="5"/>
  <c r="D65" i="5"/>
  <c r="C65" i="5"/>
  <c r="B65" i="5"/>
  <c r="H64" i="5"/>
  <c r="G64" i="5"/>
  <c r="F64" i="5"/>
  <c r="E64" i="5"/>
  <c r="D64" i="5"/>
  <c r="C64" i="5"/>
  <c r="B64" i="5"/>
  <c r="H63" i="5"/>
  <c r="G63" i="5"/>
  <c r="F63" i="5"/>
  <c r="E63" i="5"/>
  <c r="D63" i="5"/>
  <c r="C63" i="5"/>
  <c r="B63" i="5"/>
  <c r="H62" i="5"/>
  <c r="G62" i="5"/>
  <c r="F62" i="5"/>
  <c r="E62" i="5"/>
  <c r="D62" i="5"/>
  <c r="C62" i="5"/>
  <c r="B62" i="5"/>
  <c r="H61" i="5"/>
  <c r="G61" i="5"/>
  <c r="F61" i="5"/>
  <c r="E61" i="5"/>
  <c r="D61" i="5"/>
  <c r="C61" i="5"/>
  <c r="B61" i="5"/>
  <c r="H60" i="5"/>
  <c r="G60" i="5"/>
  <c r="F60" i="5"/>
  <c r="E60" i="5"/>
  <c r="D60" i="5"/>
  <c r="C60" i="5"/>
  <c r="B60" i="5"/>
  <c r="H59" i="5"/>
  <c r="G59" i="5"/>
  <c r="F59" i="5"/>
  <c r="E59" i="5"/>
  <c r="D59" i="5"/>
  <c r="C59" i="5"/>
  <c r="B59" i="5"/>
  <c r="H58" i="5"/>
  <c r="G58" i="5"/>
  <c r="F58" i="5"/>
  <c r="E58" i="5"/>
  <c r="D58" i="5"/>
  <c r="C58" i="5"/>
  <c r="B58" i="5"/>
  <c r="H57" i="5"/>
  <c r="G57" i="5"/>
  <c r="F57" i="5"/>
  <c r="E57" i="5"/>
  <c r="D57" i="5"/>
  <c r="C57" i="5"/>
  <c r="B57" i="5"/>
  <c r="H56" i="5"/>
  <c r="G56" i="5"/>
  <c r="F56" i="5"/>
  <c r="E56" i="5"/>
  <c r="D56" i="5"/>
  <c r="C56" i="5"/>
  <c r="B56" i="5"/>
  <c r="H55" i="5"/>
  <c r="G55" i="5"/>
  <c r="F55" i="5"/>
  <c r="E55" i="5"/>
  <c r="D55" i="5"/>
  <c r="C55" i="5"/>
  <c r="B55" i="5"/>
  <c r="H54" i="5"/>
  <c r="G54" i="5"/>
  <c r="F54" i="5"/>
  <c r="E54" i="5"/>
  <c r="D54" i="5"/>
  <c r="C54" i="5"/>
  <c r="B54" i="5"/>
  <c r="H53" i="5"/>
  <c r="G53" i="5"/>
  <c r="F53" i="5"/>
  <c r="E53" i="5"/>
  <c r="D53" i="5"/>
  <c r="C53" i="5"/>
  <c r="B53" i="5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G37" i="5"/>
  <c r="F37" i="5"/>
  <c r="E37" i="5"/>
  <c r="D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G30" i="5"/>
  <c r="F30" i="5"/>
  <c r="E30" i="5"/>
  <c r="D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G21" i="5"/>
  <c r="F21" i="5"/>
  <c r="E21" i="5"/>
  <c r="D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G6" i="5"/>
  <c r="F6" i="5"/>
  <c r="E6" i="5"/>
  <c r="D6" i="5"/>
  <c r="C6" i="5"/>
  <c r="B6" i="5"/>
  <c r="H5" i="5"/>
  <c r="G5" i="5"/>
  <c r="F5" i="5"/>
  <c r="E5" i="5"/>
  <c r="D5" i="5"/>
  <c r="C5" i="5"/>
  <c r="B5" i="5"/>
  <c r="H4" i="5"/>
  <c r="G4" i="5"/>
  <c r="F4" i="5"/>
  <c r="E4" i="5"/>
  <c r="D4" i="5"/>
  <c r="C4" i="5"/>
  <c r="B4" i="5"/>
  <c r="H3" i="5"/>
  <c r="G3" i="5"/>
  <c r="F3" i="5"/>
  <c r="E3" i="5"/>
  <c r="D3" i="5"/>
  <c r="C3" i="5"/>
  <c r="B3" i="5"/>
  <c r="H2" i="5"/>
  <c r="G2" i="5"/>
  <c r="F2" i="5"/>
  <c r="E2" i="5"/>
  <c r="D2" i="5"/>
  <c r="C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E1" authorId="0" shapeId="0" xr:uid="{00000000-0006-0000-0400-000001000000}">
      <text>
        <r>
          <rPr>
            <sz val="11"/>
            <color theme="1"/>
            <rFont val="ＭＳ Ｐゴシック"/>
            <family val="2"/>
            <scheme val="minor"/>
          </rPr>
          <t>通常バリ形状
 _ の直後の文字を変換:
   h → ヒゲ
   b → バリ</t>
        </r>
      </text>
    </comment>
    <comment ref="F1" authorId="0" shapeId="0" xr:uid="{00000000-0006-0000-0400-000002000000}">
      <text>
        <r>
          <rPr>
            <sz val="11"/>
            <color theme="1"/>
            <rFont val="ＭＳ Ｐゴシック"/>
            <family val="2"/>
            <scheme val="minor"/>
          </rPr>
          <t>中央バリ高さ
「_X」と「um｜」の間の数値
(負値も対応)</t>
        </r>
      </text>
    </comment>
    <comment ref="G1" authorId="0" shapeId="0" xr:uid="{00000000-0006-0000-0400-000003000000}">
      <text>
        <r>
          <rPr>
            <sz val="11"/>
            <color theme="1"/>
            <rFont val="ＭＳ Ｐゴシック"/>
            <family val="2"/>
            <scheme val="minor"/>
          </rPr>
          <t>最大バリ形状
 ｜ の直後の文字を変換:
   h → ヒゲ
   b → バリ</t>
        </r>
      </text>
    </comment>
    <comment ref="H1" authorId="0" shapeId="0" xr:uid="{00000000-0006-0000-0400-000004000000}">
      <text>
        <r>
          <rPr>
            <sz val="11"/>
            <color theme="1"/>
            <rFont val="ＭＳ Ｐゴシック"/>
            <family val="2"/>
            <scheme val="minor"/>
          </rPr>
          <t>最大バリ高さ
「｜X」と「um.jpg」の間の数値</t>
        </r>
      </text>
    </comment>
  </commentList>
</comments>
</file>

<file path=xl/sharedStrings.xml><?xml version="1.0" encoding="utf-8"?>
<sst xmlns="http://schemas.openxmlformats.org/spreadsheetml/2006/main" count="118" uniqueCount="68">
  <si>
    <t>ファイル名</t>
  </si>
  <si>
    <t>正式型番</t>
  </si>
  <si>
    <t>面内位置</t>
  </si>
  <si>
    <t>チップNo</t>
  </si>
  <si>
    <t>通常バリ形状</t>
  </si>
  <si>
    <t>中央バリ高さ</t>
  </si>
  <si>
    <t>最大バリ形状</t>
  </si>
  <si>
    <t>最大バリ高さ</t>
  </si>
  <si>
    <t>破断面観察 自動入力マクロ</t>
  </si>
  <si>
    <t>① 下の【参照】ボタンを押してフォルダを選択</t>
  </si>
  <si>
    <t>選択フォルダ:</t>
  </si>
  <si>
    <t>② 【ファイル一覧取得】ボタンを押す → filelist に全ファイル名が出力</t>
  </si>
  <si>
    <t>③ filelist シートの A 列を全選択 → コピー</t>
  </si>
  <si>
    <t>④ 「貼り付け場所変換」シートの A 列に貼り付け → 関数で自動変換</t>
  </si>
  <si>
    <t>選択するフォルダを決定</t>
  </si>
  <si>
    <t>選択したフォルダからfilelistのシートにファイル名を張り出す</t>
  </si>
  <si>
    <t>画像ファイル名</t>
  </si>
  <si>
    <t>/Users/tomica/Documents/_memory_AI/projects/転職用GITHUB/カットバリdummy_data/</t>
    <phoneticPr fontId="6"/>
  </si>
  <si>
    <t>80-50LE01_b3.61um｜h5.53um.jpg</t>
  </si>
  <si>
    <t>80-50LE02_b3.24um｜h5.12um.jpg</t>
  </si>
  <si>
    <t>80-50LE03_b4.49um｜b5.24um.jpg</t>
  </si>
  <si>
    <t>80-50LE04_b3.61um｜h5.52um.jpg</t>
  </si>
  <si>
    <t>80-50LE05_b4.16um｜b5.76um.jpg</t>
  </si>
  <si>
    <t>80-50LE06_b3.54um｜b5.03um.jpg</t>
  </si>
  <si>
    <t>80-50LE07_b3.86um｜h5.06um.jpg</t>
  </si>
  <si>
    <t>80-50LE08_b4.77um｜h5.55um.jpg</t>
  </si>
  <si>
    <t>80-50LE09_b4.05um｜h5.89um.jpg</t>
  </si>
  <si>
    <t>80-50LE10_b3.97um｜b5.25um.jpg</t>
  </si>
  <si>
    <t>84-12BM01_b3.28um｜b5.03um.jpg</t>
  </si>
  <si>
    <t>84-12BM02_b4.25um｜h5.97um.jpg</t>
  </si>
  <si>
    <t>84-12BM03_b3.97um｜b5.12um.jpg</t>
  </si>
  <si>
    <t>84-12BM04_b3.25um｜h5.07um.jpg</t>
  </si>
  <si>
    <t>84-12BM05_b4.28um｜h6.06um.jpg</t>
  </si>
  <si>
    <t>84-12BM06_b3.47um｜h5.04um.jpg</t>
  </si>
  <si>
    <t>84-12BM07_b3.53um｜b5.15um.jpg</t>
  </si>
  <si>
    <t>84-12BM08_b4.73um｜b6.46um.jpg</t>
  </si>
  <si>
    <t>84-12BM09_b3.63um｜b5.37um.jpg</t>
  </si>
  <si>
    <t>84-12BM10_b3.41um｜h5.13um.jpg</t>
  </si>
  <si>
    <t>84-50Ct01_b3.31um｜b5.12um.jpg</t>
  </si>
  <si>
    <t>84-50Ct02_b3.11um｜h5.05um.jpg</t>
  </si>
  <si>
    <t>84-50Ct03_b3.60um｜b5.28um.jpg</t>
  </si>
  <si>
    <t>84-50Ct04_b4.06um｜h5.12um.jpg</t>
  </si>
  <si>
    <t>84-50Ct05_b3.67um｜h5.40um.jpg</t>
  </si>
  <si>
    <t>84-50Ct06_b3.48um｜b5.17um.jpg</t>
  </si>
  <si>
    <t>84-50Ct07_b4.12um｜h5.84um.jpg</t>
  </si>
  <si>
    <t>84-50Ct08_b4.85um｜b6.08um.jpg</t>
  </si>
  <si>
    <t>84-50Ct09_b3.14um｜b5.08um.jpg</t>
  </si>
  <si>
    <t>84-50Ct10_b3.55um｜h5.13um.jpg</t>
  </si>
  <si>
    <t>84-50RE01_b4.52um｜h5.80um.jpg</t>
  </si>
  <si>
    <t>84-50RE02_b4.21um｜b6.04um.jpg</t>
  </si>
  <si>
    <t>84-50RE03_b3.79um｜b5.74um.jpg</t>
  </si>
  <si>
    <t>84-50RE04_b4.07um｜b5.10um.jpg</t>
  </si>
  <si>
    <t>84-50RE05_b4.74um｜b5.27um.jpg</t>
  </si>
  <si>
    <t>84-50RE06_b4.60um｜b5.66um.jpg</t>
  </si>
  <si>
    <t>84-50RE07_b3.83um｜b5.47um.jpg</t>
  </si>
  <si>
    <t>84-50RE08_b4.11um｜b6.03um.jpg</t>
  </si>
  <si>
    <t>84-50RE09_b4.39um｜h5.16um.jpg</t>
  </si>
  <si>
    <t>84-50RE10_b4.53um｜b6.14um.jpg</t>
  </si>
  <si>
    <t>84-50TE01_b4.31um｜b5.04um.jpg</t>
  </si>
  <si>
    <t>84-50TE02_b3.57um｜b5.08um.jpg</t>
  </si>
  <si>
    <t>84-50TE03_b4.39um｜b6.20um.jpg</t>
  </si>
  <si>
    <t>84-50TE04_b4.22um｜b5.05um.jpg</t>
  </si>
  <si>
    <t>84-50TE05_b3.52um｜b5.24um.jpg</t>
  </si>
  <si>
    <t>84-50TE06_b4.17um｜h5.80um.jpg</t>
  </si>
  <si>
    <t>84-50TE07_b4.14um｜h5.25um.jpg</t>
  </si>
  <si>
    <t>84-50TE08_b3.63um｜b5.51um.jpg</t>
  </si>
  <si>
    <t>84-50TE09_b4.43um｜b5.48um.jpg</t>
  </si>
  <si>
    <t>84-50TE10_b3.51um｜b5.35um.jpg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</si>
</sst>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ＭＳ Ｐゴシック"/>
      <family val="2"/>
      <scheme val="minor"/>
    </font>
    <font>
      <b/>
      <sz val="16"/>
      <color rgb="FF2F549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0000FF"/>
      <name val="Arial"/>
      <family val="2"/>
    </font>
    <font>
      <b/>
      <sz val="11"/>
      <color rgb="FFFFFFFF"/>
      <name val="Arial"/>
      <family val="2"/>
    </font>
    <font>
      <sz val="6"/>
      <name val="ＭＳ Ｐゴシック"/>
      <family val="3"/>
      <charset val="128"/>
      <scheme val="minor"/>
    </font>
    <font>
      <sz val="10"/>
      <color rgb="FF808080"/>
      <name val="ＭＳ ゴシック"/>
      <family val="3"/>
      <charset val="128"/>
    </font>
    <font>
      <sz val="10"/>
      <color rgb="FF808080"/>
      <name val="Arial"/>
      <family val="2"/>
      <charset val="128"/>
    </font>
    <font>
      <b/>
      <sz val="11"/>
      <color rgb="FFFFFFFF"/>
      <name val="游ゴシック"/>
      <family val="3"/>
      <charset val="128"/>
    </font>
    <font>
      <sz val="10"/>
      <name val="游ゴシック"/>
      <family val="3"/>
      <charset val="128"/>
    </font>
    <font>
      <sz val="11"/>
      <color rgb="FF000000"/>
      <name val="ＭＳ Ｐ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rgb="FF305496"/>
      </patternFill>
    </fill>
    <fill>
      <patternFill patternType="solid">
        <fgColor rgb="FF2E7D32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5" fillId="2" borderId="1" xfId="0" applyFont="1" applyFill="1" applyBorder="1" applyAlignment="1">
      <alignment horizontal="center" vertical="center" wrapText="1"/>
    </xf>
    <xf numFmtId="22" fontId="0" fillId="0" borderId="0" xfId="0" applyNumberForma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left" vertical="center"/>
    </xf>
    <xf numFmtId="0" fontId="10" fillId="0" borderId="2" xfId="0" applyFont="1" applyBorder="1" applyAlignment="1">
      <alignment horizontal="right" vertical="center"/>
    </xf>
    <xf numFmtId="0" fontId="10" fillId="0" borderId="2" xfId="0" applyFont="1" applyBorder="1" applyAlignment="1">
      <alignment horizontal="center" vertical="center"/>
    </xf>
    <xf numFmtId="2" fontId="10" fillId="0" borderId="2" xfId="0" applyNumberFormat="1" applyFont="1" applyBorder="1" applyAlignment="1">
      <alignment horizontal="right" vertical="center"/>
    </xf>
  </cellXfs>
  <cellStyles count="1">
    <cellStyle name="標準" xfId="0" builtinId="0"/>
  </cellStyles>
  <dxfs count="7">
    <dxf>
      <font>
        <i/>
        <sz val="10"/>
        <color rgb="FF808080"/>
        <name val="游ゴシック"/>
      </font>
      <fill>
        <patternFill patternType="solid">
          <fgColor rgb="FFD9D9D9"/>
        </patternFill>
      </fill>
    </dxf>
    <dxf>
      <font>
        <i/>
        <sz val="10"/>
        <color rgb="FF808080"/>
        <name val="游ゴシック"/>
      </font>
      <fill>
        <patternFill patternType="solid">
          <fgColor rgb="FFD9D9D9"/>
        </patternFill>
      </fill>
    </dxf>
    <dxf>
      <font>
        <i/>
        <sz val="10"/>
        <color rgb="FF808080"/>
        <name val="游ゴシック"/>
      </font>
      <fill>
        <patternFill patternType="solid">
          <fgColor rgb="FFD9D9D9"/>
        </patternFill>
      </fill>
    </dxf>
    <dxf>
      <font>
        <i/>
        <sz val="10"/>
        <color rgb="FF808080"/>
        <name val="游ゴシック"/>
      </font>
      <fill>
        <patternFill patternType="solid">
          <fgColor rgb="FFD9D9D9"/>
        </patternFill>
      </fill>
    </dxf>
    <dxf>
      <font>
        <i/>
        <sz val="10"/>
        <color rgb="FF808080"/>
        <name val="游ゴシック"/>
      </font>
      <fill>
        <patternFill patternType="solid">
          <fgColor rgb="FFD9D9D9"/>
        </patternFill>
      </fill>
    </dxf>
    <dxf>
      <font>
        <i/>
        <sz val="10"/>
        <color rgb="FF808080"/>
        <name val="游ゴシック"/>
      </font>
      <fill>
        <patternFill patternType="solid">
          <fgColor rgb="FFD9D9D9"/>
        </patternFill>
      </fill>
    </dxf>
    <dxf>
      <font>
        <i/>
        <sz val="10"/>
        <color rgb="FF808080"/>
        <name val="游ゴシック"/>
      </font>
      <fill>
        <patternFill patternType="solid">
          <fgColor rgb="FFD9D9D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10</xdr:row>
          <xdr:rowOff>25400</xdr:rowOff>
        </xdr:from>
        <xdr:to>
          <xdr:col>1</xdr:col>
          <xdr:colOff>1409700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12</xdr:row>
          <xdr:rowOff>50800</xdr:rowOff>
        </xdr:from>
        <xdr:to>
          <xdr:col>1</xdr:col>
          <xdr:colOff>1397000</xdr:colOff>
          <xdr:row>14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ファイルチェック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4"/>
  <sheetViews>
    <sheetView workbookViewId="0">
      <selection activeCell="A16" sqref="A16:XFD28"/>
    </sheetView>
  </sheetViews>
  <sheetFormatPr baseColWidth="10" defaultColWidth="8.83203125" defaultRowHeight="14"/>
  <cols>
    <col min="1" max="1" width="3" customWidth="1"/>
    <col min="2" max="2" width="22" customWidth="1"/>
    <col min="3" max="3" width="50" customWidth="1"/>
    <col min="4" max="5" width="16" customWidth="1"/>
  </cols>
  <sheetData>
    <row r="2" spans="2:3" ht="20" customHeight="1">
      <c r="B2" s="1" t="s">
        <v>8</v>
      </c>
    </row>
    <row r="4" spans="2:3">
      <c r="B4" s="2" t="s">
        <v>9</v>
      </c>
    </row>
    <row r="5" spans="2:3">
      <c r="B5" s="3" t="s">
        <v>10</v>
      </c>
      <c r="C5" s="4" t="s">
        <v>17</v>
      </c>
    </row>
    <row r="7" spans="2:3">
      <c r="B7" s="2" t="s">
        <v>11</v>
      </c>
    </row>
    <row r="9" spans="2:3">
      <c r="B9" s="2" t="s">
        <v>12</v>
      </c>
    </row>
    <row r="10" spans="2:3">
      <c r="B10" s="2" t="s">
        <v>13</v>
      </c>
    </row>
    <row r="12" spans="2:3">
      <c r="C12" s="7" t="s">
        <v>14</v>
      </c>
    </row>
    <row r="14" spans="2:3" ht="17" customHeight="1">
      <c r="C14" s="8" t="s">
        <v>15</v>
      </c>
    </row>
  </sheetData>
  <phoneticPr fontId="6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1.SelectFolder">
                <anchor moveWithCells="1" sizeWithCells="1">
                  <from>
                    <xdr:col>1</xdr:col>
                    <xdr:colOff>114300</xdr:colOff>
                    <xdr:row>10</xdr:row>
                    <xdr:rowOff>25400</xdr:rowOff>
                  </from>
                  <to>
                    <xdr:col>1</xdr:col>
                    <xdr:colOff>1409700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GetFileList">
                <anchor moveWithCells="1" sizeWithCells="1">
                  <from>
                    <xdr:col>1</xdr:col>
                    <xdr:colOff>139700</xdr:colOff>
                    <xdr:row>12</xdr:row>
                    <xdr:rowOff>50800</xdr:rowOff>
                  </from>
                  <to>
                    <xdr:col>1</xdr:col>
                    <xdr:colOff>1397000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workbookViewId="0">
      <pane ySplit="1" topLeftCell="A6" activePane="bottomLeft" state="frozen"/>
      <selection pane="bottomLeft" activeCell="A2" sqref="A2:A51"/>
    </sheetView>
  </sheetViews>
  <sheetFormatPr baseColWidth="10" defaultColWidth="8.83203125" defaultRowHeight="14"/>
  <cols>
    <col min="1" max="1" width="50" customWidth="1"/>
  </cols>
  <sheetData>
    <row r="1" spans="1:2" ht="15" customHeight="1">
      <c r="A1" s="5" t="s">
        <v>16</v>
      </c>
    </row>
    <row r="2" spans="1:2">
      <c r="A2" t="s">
        <v>18</v>
      </c>
      <c r="B2" s="6"/>
    </row>
    <row r="3" spans="1:2">
      <c r="A3" t="s">
        <v>19</v>
      </c>
    </row>
    <row r="4" spans="1:2">
      <c r="A4" t="s">
        <v>20</v>
      </c>
    </row>
    <row r="5" spans="1:2">
      <c r="A5" t="s">
        <v>21</v>
      </c>
    </row>
    <row r="6" spans="1:2">
      <c r="A6" t="s">
        <v>22</v>
      </c>
    </row>
    <row r="7" spans="1:2">
      <c r="A7" t="s">
        <v>23</v>
      </c>
    </row>
    <row r="8" spans="1:2">
      <c r="A8" t="s">
        <v>24</v>
      </c>
    </row>
    <row r="9" spans="1:2">
      <c r="A9" t="s">
        <v>25</v>
      </c>
    </row>
    <row r="10" spans="1:2">
      <c r="A10" t="s">
        <v>26</v>
      </c>
    </row>
    <row r="11" spans="1:2">
      <c r="A11" t="s">
        <v>27</v>
      </c>
    </row>
    <row r="12" spans="1:2">
      <c r="A12" t="s">
        <v>28</v>
      </c>
    </row>
    <row r="13" spans="1:2">
      <c r="A13" t="s">
        <v>29</v>
      </c>
    </row>
    <row r="14" spans="1:2">
      <c r="A14" t="s">
        <v>30</v>
      </c>
    </row>
    <row r="15" spans="1:2">
      <c r="A15" t="s">
        <v>31</v>
      </c>
    </row>
    <row r="16" spans="1:2">
      <c r="A16" t="s">
        <v>32</v>
      </c>
    </row>
    <row r="17" spans="1:1">
      <c r="A17" t="s">
        <v>33</v>
      </c>
    </row>
    <row r="18" spans="1:1">
      <c r="A18" t="s">
        <v>34</v>
      </c>
    </row>
    <row r="19" spans="1:1">
      <c r="A19" t="s">
        <v>35</v>
      </c>
    </row>
    <row r="20" spans="1:1">
      <c r="A20" t="s">
        <v>36</v>
      </c>
    </row>
    <row r="21" spans="1:1">
      <c r="A21" t="s">
        <v>37</v>
      </c>
    </row>
    <row r="22" spans="1:1">
      <c r="A22" t="s">
        <v>38</v>
      </c>
    </row>
    <row r="23" spans="1:1">
      <c r="A23" t="s">
        <v>39</v>
      </c>
    </row>
    <row r="24" spans="1:1">
      <c r="A24" t="s">
        <v>40</v>
      </c>
    </row>
    <row r="25" spans="1:1">
      <c r="A25" t="s">
        <v>41</v>
      </c>
    </row>
    <row r="26" spans="1:1">
      <c r="A26" t="s">
        <v>42</v>
      </c>
    </row>
    <row r="27" spans="1:1">
      <c r="A27" t="s">
        <v>43</v>
      </c>
    </row>
    <row r="28" spans="1:1">
      <c r="A28" t="s">
        <v>44</v>
      </c>
    </row>
    <row r="29" spans="1:1">
      <c r="A29" t="s">
        <v>45</v>
      </c>
    </row>
    <row r="30" spans="1:1">
      <c r="A30" t="s">
        <v>46</v>
      </c>
    </row>
    <row r="31" spans="1:1">
      <c r="A31" t="s">
        <v>47</v>
      </c>
    </row>
    <row r="32" spans="1:1">
      <c r="A32" t="s">
        <v>48</v>
      </c>
    </row>
    <row r="33" spans="1:1">
      <c r="A33" t="s">
        <v>49</v>
      </c>
    </row>
    <row r="34" spans="1:1">
      <c r="A34" t="s">
        <v>50</v>
      </c>
    </row>
    <row r="35" spans="1:1">
      <c r="A35" t="s">
        <v>51</v>
      </c>
    </row>
    <row r="36" spans="1:1">
      <c r="A36" t="s">
        <v>52</v>
      </c>
    </row>
    <row r="37" spans="1:1">
      <c r="A37" t="s">
        <v>53</v>
      </c>
    </row>
    <row r="38" spans="1:1">
      <c r="A38" t="s">
        <v>54</v>
      </c>
    </row>
    <row r="39" spans="1:1">
      <c r="A39" t="s">
        <v>55</v>
      </c>
    </row>
    <row r="40" spans="1:1">
      <c r="A40" t="s">
        <v>56</v>
      </c>
    </row>
    <row r="41" spans="1:1">
      <c r="A41" t="s">
        <v>57</v>
      </c>
    </row>
    <row r="42" spans="1:1">
      <c r="A42" t="s">
        <v>58</v>
      </c>
    </row>
    <row r="43" spans="1:1">
      <c r="A43" t="s">
        <v>59</v>
      </c>
    </row>
    <row r="44" spans="1:1">
      <c r="A44" t="s">
        <v>60</v>
      </c>
    </row>
    <row r="45" spans="1:1">
      <c r="A45" t="s">
        <v>61</v>
      </c>
    </row>
    <row r="46" spans="1:1">
      <c r="A46" t="s">
        <v>62</v>
      </c>
    </row>
    <row r="47" spans="1:1">
      <c r="A47" t="s">
        <v>63</v>
      </c>
    </row>
    <row r="48" spans="1:1">
      <c r="A48" t="s">
        <v>64</v>
      </c>
    </row>
    <row r="49" spans="1:1">
      <c r="A49" t="s">
        <v>65</v>
      </c>
    </row>
    <row r="50" spans="1:1">
      <c r="A50" t="s">
        <v>66</v>
      </c>
    </row>
    <row r="51" spans="1:1">
      <c r="A51" t="s">
        <v>67</v>
      </c>
    </row>
  </sheetData>
  <phoneticPr fontId="6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01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A2" sqref="A2:A51"/>
    </sheetView>
  </sheetViews>
  <sheetFormatPr baseColWidth="10" defaultColWidth="8.83203125" defaultRowHeight="14"/>
  <cols>
    <col min="1" max="1" width="40" customWidth="1"/>
    <col min="2" max="2" width="18" customWidth="1"/>
    <col min="3" max="3" width="14" customWidth="1"/>
    <col min="4" max="4" width="10" customWidth="1"/>
    <col min="5" max="8" width="14" customWidth="1"/>
  </cols>
  <sheetData>
    <row r="1" spans="1:8" ht="36" customHeight="1">
      <c r="A1" s="9" t="s">
        <v>0</v>
      </c>
      <c r="B1" s="9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0" t="s">
        <v>6</v>
      </c>
      <c r="H1" s="10" t="s">
        <v>7</v>
      </c>
    </row>
    <row r="2" spans="1:8" ht="17">
      <c r="A2" t="s">
        <v>18</v>
      </c>
      <c r="B2" s="11" t="str">
        <f t="shared" ref="B2:B33" si="0">IF(MID(A2,1,5)="80-50","DH26050758-50",IF(MID(A2,1,5)="84-12","CE26042384-12",IF(MID(A2,1,5)="84-50","DCH003484-50","該当なし")))</f>
        <v>DH26050758-50</v>
      </c>
      <c r="C2" s="11" t="str">
        <f t="shared" ref="C2:C33" si="1">IF(MID(A2,6,2)="TE","Top Edge",IF(MID(A2,6,2)="BM","Bottom Middle",IF(MID(A2,6,2)="Ct","Center",IF(MID(A2,6,2)="LE","Left Edge",IF(MID(A2,6,2)="RE","Right Edge","該当なし")))))</f>
        <v>Left Edge</v>
      </c>
      <c r="D2" s="12">
        <f t="shared" ref="D2:D33" si="2">IFERROR(MID(A2,8,2)*1,"該当なし")</f>
        <v>1</v>
      </c>
      <c r="E2" s="13" t="str">
        <f t="shared" ref="E2:E33" si="3">IFERROR(IF(MID(A2,FIND("_",A2)+1,1)="h","ヒゲ",IF(MID(A2,FIND("_",A2)+1,1)="b","バリ","該当なし")),"該当なし")</f>
        <v>バリ</v>
      </c>
      <c r="F2" s="14">
        <f t="shared" ref="F2:F33" si="4">IFERROR(MID(A2,FIND("_",A2)+2,FIND("um｜",A2)-FIND("_",A2)-2)*1,"該当なし")</f>
        <v>3.61</v>
      </c>
      <c r="G2" s="13" t="str">
        <f t="shared" ref="G2:G33" si="5">IFERROR(IF(MID(A2,FIND("｜",A2)+1,1)="h","ヒゲ",IF(MID(A2,FIND("｜",A2)+1,1)="b","バリ","該当なし")),"該当なし")</f>
        <v>ヒゲ</v>
      </c>
      <c r="H2" s="14">
        <f t="shared" ref="H2:H33" si="6">IFERROR(MID(A2,FIND("｜",A2)+2,FIND("um.jpg",A2)-FIND("｜",A2)-2)*1,"該当なし")</f>
        <v>5.53</v>
      </c>
    </row>
    <row r="3" spans="1:8" ht="17">
      <c r="A3" t="s">
        <v>19</v>
      </c>
      <c r="B3" s="11" t="str">
        <f t="shared" si="0"/>
        <v>DH26050758-50</v>
      </c>
      <c r="C3" s="11" t="str">
        <f t="shared" si="1"/>
        <v>Left Edge</v>
      </c>
      <c r="D3" s="12">
        <f t="shared" si="2"/>
        <v>2</v>
      </c>
      <c r="E3" s="13" t="str">
        <f t="shared" si="3"/>
        <v>バリ</v>
      </c>
      <c r="F3" s="14">
        <f t="shared" si="4"/>
        <v>3.24</v>
      </c>
      <c r="G3" s="13" t="str">
        <f t="shared" si="5"/>
        <v>ヒゲ</v>
      </c>
      <c r="H3" s="14">
        <f t="shared" si="6"/>
        <v>5.12</v>
      </c>
    </row>
    <row r="4" spans="1:8" ht="17">
      <c r="A4" t="s">
        <v>20</v>
      </c>
      <c r="B4" s="11" t="str">
        <f t="shared" si="0"/>
        <v>DH26050758-50</v>
      </c>
      <c r="C4" s="11" t="str">
        <f t="shared" si="1"/>
        <v>Left Edge</v>
      </c>
      <c r="D4" s="12">
        <f t="shared" si="2"/>
        <v>3</v>
      </c>
      <c r="E4" s="13" t="str">
        <f t="shared" si="3"/>
        <v>バリ</v>
      </c>
      <c r="F4" s="14">
        <f t="shared" si="4"/>
        <v>4.49</v>
      </c>
      <c r="G4" s="13" t="str">
        <f t="shared" si="5"/>
        <v>バリ</v>
      </c>
      <c r="H4" s="14">
        <f t="shared" si="6"/>
        <v>5.24</v>
      </c>
    </row>
    <row r="5" spans="1:8" ht="17">
      <c r="A5" t="s">
        <v>21</v>
      </c>
      <c r="B5" s="11" t="str">
        <f t="shared" si="0"/>
        <v>DH26050758-50</v>
      </c>
      <c r="C5" s="11" t="str">
        <f t="shared" si="1"/>
        <v>Left Edge</v>
      </c>
      <c r="D5" s="12">
        <f t="shared" si="2"/>
        <v>4</v>
      </c>
      <c r="E5" s="13" t="str">
        <f t="shared" si="3"/>
        <v>バリ</v>
      </c>
      <c r="F5" s="14">
        <f t="shared" si="4"/>
        <v>3.61</v>
      </c>
      <c r="G5" s="13" t="str">
        <f t="shared" si="5"/>
        <v>ヒゲ</v>
      </c>
      <c r="H5" s="14">
        <f t="shared" si="6"/>
        <v>5.52</v>
      </c>
    </row>
    <row r="6" spans="1:8" ht="17">
      <c r="A6" t="s">
        <v>22</v>
      </c>
      <c r="B6" s="11" t="str">
        <f t="shared" si="0"/>
        <v>DH26050758-50</v>
      </c>
      <c r="C6" s="11" t="str">
        <f t="shared" si="1"/>
        <v>Left Edge</v>
      </c>
      <c r="D6" s="12">
        <f t="shared" si="2"/>
        <v>5</v>
      </c>
      <c r="E6" s="13" t="str">
        <f t="shared" si="3"/>
        <v>バリ</v>
      </c>
      <c r="F6" s="14">
        <f t="shared" si="4"/>
        <v>4.16</v>
      </c>
      <c r="G6" s="13" t="str">
        <f t="shared" si="5"/>
        <v>バリ</v>
      </c>
      <c r="H6" s="14">
        <f t="shared" si="6"/>
        <v>5.76</v>
      </c>
    </row>
    <row r="7" spans="1:8" ht="17">
      <c r="A7" t="s">
        <v>23</v>
      </c>
      <c r="B7" s="11" t="str">
        <f t="shared" si="0"/>
        <v>DH26050758-50</v>
      </c>
      <c r="C7" s="11" t="str">
        <f t="shared" si="1"/>
        <v>Left Edge</v>
      </c>
      <c r="D7" s="12">
        <f t="shared" si="2"/>
        <v>6</v>
      </c>
      <c r="E7" s="13" t="str">
        <f t="shared" si="3"/>
        <v>バリ</v>
      </c>
      <c r="F7" s="14">
        <f t="shared" si="4"/>
        <v>3.54</v>
      </c>
      <c r="G7" s="13" t="str">
        <f t="shared" si="5"/>
        <v>バリ</v>
      </c>
      <c r="H7" s="14">
        <f t="shared" si="6"/>
        <v>5.03</v>
      </c>
    </row>
    <row r="8" spans="1:8" ht="17">
      <c r="A8" t="s">
        <v>24</v>
      </c>
      <c r="B8" s="11" t="str">
        <f t="shared" si="0"/>
        <v>DH26050758-50</v>
      </c>
      <c r="C8" s="11" t="str">
        <f t="shared" si="1"/>
        <v>Left Edge</v>
      </c>
      <c r="D8" s="12">
        <f t="shared" si="2"/>
        <v>7</v>
      </c>
      <c r="E8" s="13" t="str">
        <f t="shared" si="3"/>
        <v>バリ</v>
      </c>
      <c r="F8" s="14">
        <f t="shared" si="4"/>
        <v>3.86</v>
      </c>
      <c r="G8" s="13" t="str">
        <f t="shared" si="5"/>
        <v>ヒゲ</v>
      </c>
      <c r="H8" s="14">
        <f t="shared" si="6"/>
        <v>5.0599999999999996</v>
      </c>
    </row>
    <row r="9" spans="1:8" ht="17">
      <c r="A9" t="s">
        <v>25</v>
      </c>
      <c r="B9" s="11" t="str">
        <f t="shared" si="0"/>
        <v>DH26050758-50</v>
      </c>
      <c r="C9" s="11" t="str">
        <f t="shared" si="1"/>
        <v>Left Edge</v>
      </c>
      <c r="D9" s="12">
        <f t="shared" si="2"/>
        <v>8</v>
      </c>
      <c r="E9" s="13" t="str">
        <f t="shared" si="3"/>
        <v>バリ</v>
      </c>
      <c r="F9" s="14">
        <f t="shared" si="4"/>
        <v>4.7699999999999996</v>
      </c>
      <c r="G9" s="13" t="str">
        <f t="shared" si="5"/>
        <v>ヒゲ</v>
      </c>
      <c r="H9" s="14">
        <f t="shared" si="6"/>
        <v>5.55</v>
      </c>
    </row>
    <row r="10" spans="1:8" ht="17">
      <c r="A10" t="s">
        <v>26</v>
      </c>
      <c r="B10" s="11" t="str">
        <f t="shared" si="0"/>
        <v>DH26050758-50</v>
      </c>
      <c r="C10" s="11" t="str">
        <f t="shared" si="1"/>
        <v>Left Edge</v>
      </c>
      <c r="D10" s="12">
        <f t="shared" si="2"/>
        <v>9</v>
      </c>
      <c r="E10" s="13" t="str">
        <f t="shared" si="3"/>
        <v>バリ</v>
      </c>
      <c r="F10" s="14">
        <f t="shared" si="4"/>
        <v>4.05</v>
      </c>
      <c r="G10" s="13" t="str">
        <f t="shared" si="5"/>
        <v>ヒゲ</v>
      </c>
      <c r="H10" s="14">
        <f t="shared" si="6"/>
        <v>5.89</v>
      </c>
    </row>
    <row r="11" spans="1:8" ht="17">
      <c r="A11" t="s">
        <v>27</v>
      </c>
      <c r="B11" s="11" t="str">
        <f t="shared" si="0"/>
        <v>DH26050758-50</v>
      </c>
      <c r="C11" s="11" t="str">
        <f t="shared" si="1"/>
        <v>Left Edge</v>
      </c>
      <c r="D11" s="12">
        <f t="shared" si="2"/>
        <v>10</v>
      </c>
      <c r="E11" s="13" t="str">
        <f t="shared" si="3"/>
        <v>バリ</v>
      </c>
      <c r="F11" s="14">
        <f t="shared" si="4"/>
        <v>3.97</v>
      </c>
      <c r="G11" s="13" t="str">
        <f t="shared" si="5"/>
        <v>バリ</v>
      </c>
      <c r="H11" s="14">
        <f t="shared" si="6"/>
        <v>5.25</v>
      </c>
    </row>
    <row r="12" spans="1:8" ht="17">
      <c r="A12" t="s">
        <v>28</v>
      </c>
      <c r="B12" s="11" t="str">
        <f t="shared" si="0"/>
        <v>CE26042384-12</v>
      </c>
      <c r="C12" s="11" t="str">
        <f t="shared" si="1"/>
        <v>Bottom Middle</v>
      </c>
      <c r="D12" s="12">
        <f t="shared" si="2"/>
        <v>1</v>
      </c>
      <c r="E12" s="13" t="str">
        <f t="shared" si="3"/>
        <v>バリ</v>
      </c>
      <c r="F12" s="14">
        <f t="shared" si="4"/>
        <v>3.28</v>
      </c>
      <c r="G12" s="13" t="str">
        <f t="shared" si="5"/>
        <v>バリ</v>
      </c>
      <c r="H12" s="14">
        <f t="shared" si="6"/>
        <v>5.03</v>
      </c>
    </row>
    <row r="13" spans="1:8" ht="17">
      <c r="A13" t="s">
        <v>29</v>
      </c>
      <c r="B13" s="11" t="str">
        <f t="shared" si="0"/>
        <v>CE26042384-12</v>
      </c>
      <c r="C13" s="11" t="str">
        <f t="shared" si="1"/>
        <v>Bottom Middle</v>
      </c>
      <c r="D13" s="12">
        <f t="shared" si="2"/>
        <v>2</v>
      </c>
      <c r="E13" s="13" t="str">
        <f t="shared" si="3"/>
        <v>バリ</v>
      </c>
      <c r="F13" s="14">
        <f t="shared" si="4"/>
        <v>4.25</v>
      </c>
      <c r="G13" s="13" t="str">
        <f t="shared" si="5"/>
        <v>ヒゲ</v>
      </c>
      <c r="H13" s="14">
        <f t="shared" si="6"/>
        <v>5.97</v>
      </c>
    </row>
    <row r="14" spans="1:8" ht="17">
      <c r="A14" t="s">
        <v>30</v>
      </c>
      <c r="B14" s="11" t="str">
        <f t="shared" si="0"/>
        <v>CE26042384-12</v>
      </c>
      <c r="C14" s="11" t="str">
        <f t="shared" si="1"/>
        <v>Bottom Middle</v>
      </c>
      <c r="D14" s="12">
        <f t="shared" si="2"/>
        <v>3</v>
      </c>
      <c r="E14" s="13" t="str">
        <f t="shared" si="3"/>
        <v>バリ</v>
      </c>
      <c r="F14" s="14">
        <f t="shared" si="4"/>
        <v>3.97</v>
      </c>
      <c r="G14" s="13" t="str">
        <f t="shared" si="5"/>
        <v>バリ</v>
      </c>
      <c r="H14" s="14">
        <f t="shared" si="6"/>
        <v>5.12</v>
      </c>
    </row>
    <row r="15" spans="1:8" ht="17">
      <c r="A15" t="s">
        <v>31</v>
      </c>
      <c r="B15" s="11" t="str">
        <f t="shared" si="0"/>
        <v>CE26042384-12</v>
      </c>
      <c r="C15" s="11" t="str">
        <f t="shared" si="1"/>
        <v>Bottom Middle</v>
      </c>
      <c r="D15" s="12">
        <f t="shared" si="2"/>
        <v>4</v>
      </c>
      <c r="E15" s="13" t="str">
        <f t="shared" si="3"/>
        <v>バリ</v>
      </c>
      <c r="F15" s="14">
        <f t="shared" si="4"/>
        <v>3.25</v>
      </c>
      <c r="G15" s="13" t="str">
        <f t="shared" si="5"/>
        <v>ヒゲ</v>
      </c>
      <c r="H15" s="14">
        <f t="shared" si="6"/>
        <v>5.07</v>
      </c>
    </row>
    <row r="16" spans="1:8" ht="17">
      <c r="A16" t="s">
        <v>32</v>
      </c>
      <c r="B16" s="11" t="str">
        <f t="shared" si="0"/>
        <v>CE26042384-12</v>
      </c>
      <c r="C16" s="11" t="str">
        <f t="shared" si="1"/>
        <v>Bottom Middle</v>
      </c>
      <c r="D16" s="12">
        <f t="shared" si="2"/>
        <v>5</v>
      </c>
      <c r="E16" s="13" t="str">
        <f t="shared" si="3"/>
        <v>バリ</v>
      </c>
      <c r="F16" s="14">
        <f t="shared" si="4"/>
        <v>4.28</v>
      </c>
      <c r="G16" s="13" t="str">
        <f t="shared" si="5"/>
        <v>ヒゲ</v>
      </c>
      <c r="H16" s="14">
        <f t="shared" si="6"/>
        <v>6.06</v>
      </c>
    </row>
    <row r="17" spans="1:8" ht="17">
      <c r="A17" t="s">
        <v>33</v>
      </c>
      <c r="B17" s="11" t="str">
        <f t="shared" si="0"/>
        <v>CE26042384-12</v>
      </c>
      <c r="C17" s="11" t="str">
        <f t="shared" si="1"/>
        <v>Bottom Middle</v>
      </c>
      <c r="D17" s="12">
        <f t="shared" si="2"/>
        <v>6</v>
      </c>
      <c r="E17" s="13" t="str">
        <f t="shared" si="3"/>
        <v>バリ</v>
      </c>
      <c r="F17" s="14">
        <f t="shared" si="4"/>
        <v>3.47</v>
      </c>
      <c r="G17" s="13" t="str">
        <f t="shared" si="5"/>
        <v>ヒゲ</v>
      </c>
      <c r="H17" s="14">
        <f t="shared" si="6"/>
        <v>5.04</v>
      </c>
    </row>
    <row r="18" spans="1:8" ht="17">
      <c r="A18" t="s">
        <v>34</v>
      </c>
      <c r="B18" s="11" t="str">
        <f t="shared" si="0"/>
        <v>CE26042384-12</v>
      </c>
      <c r="C18" s="11" t="str">
        <f t="shared" si="1"/>
        <v>Bottom Middle</v>
      </c>
      <c r="D18" s="12">
        <f t="shared" si="2"/>
        <v>7</v>
      </c>
      <c r="E18" s="13" t="str">
        <f t="shared" si="3"/>
        <v>バリ</v>
      </c>
      <c r="F18" s="14">
        <f t="shared" si="4"/>
        <v>3.53</v>
      </c>
      <c r="G18" s="13" t="str">
        <f t="shared" si="5"/>
        <v>バリ</v>
      </c>
      <c r="H18" s="14">
        <f t="shared" si="6"/>
        <v>5.15</v>
      </c>
    </row>
    <row r="19" spans="1:8" ht="17">
      <c r="A19" t="s">
        <v>35</v>
      </c>
      <c r="B19" s="11" t="str">
        <f t="shared" si="0"/>
        <v>CE26042384-12</v>
      </c>
      <c r="C19" s="11" t="str">
        <f t="shared" si="1"/>
        <v>Bottom Middle</v>
      </c>
      <c r="D19" s="12">
        <f t="shared" si="2"/>
        <v>8</v>
      </c>
      <c r="E19" s="13" t="str">
        <f t="shared" si="3"/>
        <v>バリ</v>
      </c>
      <c r="F19" s="14">
        <f t="shared" si="4"/>
        <v>4.7300000000000004</v>
      </c>
      <c r="G19" s="13" t="str">
        <f t="shared" si="5"/>
        <v>バリ</v>
      </c>
      <c r="H19" s="14">
        <f t="shared" si="6"/>
        <v>6.46</v>
      </c>
    </row>
    <row r="20" spans="1:8" ht="17">
      <c r="A20" t="s">
        <v>36</v>
      </c>
      <c r="B20" s="11" t="str">
        <f t="shared" si="0"/>
        <v>CE26042384-12</v>
      </c>
      <c r="C20" s="11" t="str">
        <f t="shared" si="1"/>
        <v>Bottom Middle</v>
      </c>
      <c r="D20" s="12">
        <f t="shared" si="2"/>
        <v>9</v>
      </c>
      <c r="E20" s="13" t="str">
        <f t="shared" si="3"/>
        <v>バリ</v>
      </c>
      <c r="F20" s="14">
        <f t="shared" si="4"/>
        <v>3.63</v>
      </c>
      <c r="G20" s="13" t="str">
        <f t="shared" si="5"/>
        <v>バリ</v>
      </c>
      <c r="H20" s="14">
        <f t="shared" si="6"/>
        <v>5.37</v>
      </c>
    </row>
    <row r="21" spans="1:8" ht="17">
      <c r="A21" t="s">
        <v>37</v>
      </c>
      <c r="B21" s="11" t="str">
        <f t="shared" si="0"/>
        <v>CE26042384-12</v>
      </c>
      <c r="C21" s="11" t="str">
        <f t="shared" si="1"/>
        <v>Bottom Middle</v>
      </c>
      <c r="D21" s="12">
        <f t="shared" si="2"/>
        <v>10</v>
      </c>
      <c r="E21" s="13" t="str">
        <f t="shared" si="3"/>
        <v>バリ</v>
      </c>
      <c r="F21" s="14">
        <f t="shared" si="4"/>
        <v>3.41</v>
      </c>
      <c r="G21" s="13" t="str">
        <f t="shared" si="5"/>
        <v>ヒゲ</v>
      </c>
      <c r="H21" s="14">
        <f t="shared" si="6"/>
        <v>5.13</v>
      </c>
    </row>
    <row r="22" spans="1:8" ht="17">
      <c r="A22" t="s">
        <v>38</v>
      </c>
      <c r="B22" s="11" t="str">
        <f t="shared" si="0"/>
        <v>DCH003484-50</v>
      </c>
      <c r="C22" s="11" t="str">
        <f t="shared" si="1"/>
        <v>Center</v>
      </c>
      <c r="D22" s="12">
        <f t="shared" si="2"/>
        <v>1</v>
      </c>
      <c r="E22" s="13" t="str">
        <f t="shared" si="3"/>
        <v>バリ</v>
      </c>
      <c r="F22" s="14">
        <f t="shared" si="4"/>
        <v>3.31</v>
      </c>
      <c r="G22" s="13" t="str">
        <f t="shared" si="5"/>
        <v>バリ</v>
      </c>
      <c r="H22" s="14">
        <f t="shared" si="6"/>
        <v>5.12</v>
      </c>
    </row>
    <row r="23" spans="1:8" ht="17">
      <c r="A23" t="s">
        <v>39</v>
      </c>
      <c r="B23" s="11" t="str">
        <f t="shared" si="0"/>
        <v>DCH003484-50</v>
      </c>
      <c r="C23" s="11" t="str">
        <f t="shared" si="1"/>
        <v>Center</v>
      </c>
      <c r="D23" s="12">
        <f t="shared" si="2"/>
        <v>2</v>
      </c>
      <c r="E23" s="13" t="str">
        <f t="shared" si="3"/>
        <v>バリ</v>
      </c>
      <c r="F23" s="14">
        <f t="shared" si="4"/>
        <v>3.11</v>
      </c>
      <c r="G23" s="13" t="str">
        <f t="shared" si="5"/>
        <v>ヒゲ</v>
      </c>
      <c r="H23" s="14">
        <f t="shared" si="6"/>
        <v>5.05</v>
      </c>
    </row>
    <row r="24" spans="1:8" ht="17">
      <c r="A24" t="s">
        <v>40</v>
      </c>
      <c r="B24" s="11" t="str">
        <f t="shared" si="0"/>
        <v>DCH003484-50</v>
      </c>
      <c r="C24" s="11" t="str">
        <f t="shared" si="1"/>
        <v>Center</v>
      </c>
      <c r="D24" s="12">
        <f t="shared" si="2"/>
        <v>3</v>
      </c>
      <c r="E24" s="13" t="str">
        <f t="shared" si="3"/>
        <v>バリ</v>
      </c>
      <c r="F24" s="14">
        <f t="shared" si="4"/>
        <v>3.6</v>
      </c>
      <c r="G24" s="13" t="str">
        <f t="shared" si="5"/>
        <v>バリ</v>
      </c>
      <c r="H24" s="14">
        <f t="shared" si="6"/>
        <v>5.28</v>
      </c>
    </row>
    <row r="25" spans="1:8" ht="17">
      <c r="A25" t="s">
        <v>41</v>
      </c>
      <c r="B25" s="11" t="str">
        <f t="shared" si="0"/>
        <v>DCH003484-50</v>
      </c>
      <c r="C25" s="11" t="str">
        <f t="shared" si="1"/>
        <v>Center</v>
      </c>
      <c r="D25" s="12">
        <f t="shared" si="2"/>
        <v>4</v>
      </c>
      <c r="E25" s="13" t="str">
        <f t="shared" si="3"/>
        <v>バリ</v>
      </c>
      <c r="F25" s="14">
        <f t="shared" si="4"/>
        <v>4.0599999999999996</v>
      </c>
      <c r="G25" s="13" t="str">
        <f t="shared" si="5"/>
        <v>ヒゲ</v>
      </c>
      <c r="H25" s="14">
        <f t="shared" si="6"/>
        <v>5.12</v>
      </c>
    </row>
    <row r="26" spans="1:8" ht="17">
      <c r="A26" t="s">
        <v>42</v>
      </c>
      <c r="B26" s="11" t="str">
        <f t="shared" si="0"/>
        <v>DCH003484-50</v>
      </c>
      <c r="C26" s="11" t="str">
        <f t="shared" si="1"/>
        <v>Center</v>
      </c>
      <c r="D26" s="12">
        <f t="shared" si="2"/>
        <v>5</v>
      </c>
      <c r="E26" s="13" t="str">
        <f t="shared" si="3"/>
        <v>バリ</v>
      </c>
      <c r="F26" s="14">
        <f t="shared" si="4"/>
        <v>3.67</v>
      </c>
      <c r="G26" s="13" t="str">
        <f t="shared" si="5"/>
        <v>ヒゲ</v>
      </c>
      <c r="H26" s="14">
        <f t="shared" si="6"/>
        <v>5.4</v>
      </c>
    </row>
    <row r="27" spans="1:8" ht="17">
      <c r="A27" t="s">
        <v>43</v>
      </c>
      <c r="B27" s="11" t="str">
        <f t="shared" si="0"/>
        <v>DCH003484-50</v>
      </c>
      <c r="C27" s="11" t="str">
        <f t="shared" si="1"/>
        <v>Center</v>
      </c>
      <c r="D27" s="12">
        <f t="shared" si="2"/>
        <v>6</v>
      </c>
      <c r="E27" s="13" t="str">
        <f t="shared" si="3"/>
        <v>バリ</v>
      </c>
      <c r="F27" s="14">
        <f t="shared" si="4"/>
        <v>3.48</v>
      </c>
      <c r="G27" s="13" t="str">
        <f t="shared" si="5"/>
        <v>バリ</v>
      </c>
      <c r="H27" s="14">
        <f t="shared" si="6"/>
        <v>5.17</v>
      </c>
    </row>
    <row r="28" spans="1:8" ht="17">
      <c r="A28" t="s">
        <v>44</v>
      </c>
      <c r="B28" s="11" t="str">
        <f t="shared" si="0"/>
        <v>DCH003484-50</v>
      </c>
      <c r="C28" s="11" t="str">
        <f t="shared" si="1"/>
        <v>Center</v>
      </c>
      <c r="D28" s="12">
        <f t="shared" si="2"/>
        <v>7</v>
      </c>
      <c r="E28" s="13" t="str">
        <f t="shared" si="3"/>
        <v>バリ</v>
      </c>
      <c r="F28" s="14">
        <f t="shared" si="4"/>
        <v>4.12</v>
      </c>
      <c r="G28" s="13" t="str">
        <f t="shared" si="5"/>
        <v>ヒゲ</v>
      </c>
      <c r="H28" s="14">
        <f t="shared" si="6"/>
        <v>5.84</v>
      </c>
    </row>
    <row r="29" spans="1:8" ht="17">
      <c r="A29" t="s">
        <v>45</v>
      </c>
      <c r="B29" s="11" t="str">
        <f t="shared" si="0"/>
        <v>DCH003484-50</v>
      </c>
      <c r="C29" s="11" t="str">
        <f t="shared" si="1"/>
        <v>Center</v>
      </c>
      <c r="D29" s="12">
        <f t="shared" si="2"/>
        <v>8</v>
      </c>
      <c r="E29" s="13" t="str">
        <f t="shared" si="3"/>
        <v>バリ</v>
      </c>
      <c r="F29" s="14">
        <f t="shared" si="4"/>
        <v>4.8499999999999996</v>
      </c>
      <c r="G29" s="13" t="str">
        <f t="shared" si="5"/>
        <v>バリ</v>
      </c>
      <c r="H29" s="14">
        <f t="shared" si="6"/>
        <v>6.08</v>
      </c>
    </row>
    <row r="30" spans="1:8" ht="17">
      <c r="A30" t="s">
        <v>46</v>
      </c>
      <c r="B30" s="11" t="str">
        <f t="shared" si="0"/>
        <v>DCH003484-50</v>
      </c>
      <c r="C30" s="11" t="str">
        <f t="shared" si="1"/>
        <v>Center</v>
      </c>
      <c r="D30" s="12">
        <f t="shared" si="2"/>
        <v>9</v>
      </c>
      <c r="E30" s="13" t="str">
        <f t="shared" si="3"/>
        <v>バリ</v>
      </c>
      <c r="F30" s="14">
        <f t="shared" si="4"/>
        <v>3.14</v>
      </c>
      <c r="G30" s="13" t="str">
        <f t="shared" si="5"/>
        <v>バリ</v>
      </c>
      <c r="H30" s="14">
        <f t="shared" si="6"/>
        <v>5.08</v>
      </c>
    </row>
    <row r="31" spans="1:8" ht="17">
      <c r="A31" t="s">
        <v>47</v>
      </c>
      <c r="B31" s="11" t="str">
        <f t="shared" si="0"/>
        <v>DCH003484-50</v>
      </c>
      <c r="C31" s="11" t="str">
        <f t="shared" si="1"/>
        <v>Center</v>
      </c>
      <c r="D31" s="12">
        <f t="shared" si="2"/>
        <v>10</v>
      </c>
      <c r="E31" s="13" t="str">
        <f t="shared" si="3"/>
        <v>バリ</v>
      </c>
      <c r="F31" s="14">
        <f t="shared" si="4"/>
        <v>3.55</v>
      </c>
      <c r="G31" s="13" t="str">
        <f t="shared" si="5"/>
        <v>ヒゲ</v>
      </c>
      <c r="H31" s="14">
        <f t="shared" si="6"/>
        <v>5.13</v>
      </c>
    </row>
    <row r="32" spans="1:8" ht="17">
      <c r="A32" t="s">
        <v>48</v>
      </c>
      <c r="B32" s="11" t="str">
        <f t="shared" si="0"/>
        <v>DCH003484-50</v>
      </c>
      <c r="C32" s="11" t="str">
        <f t="shared" si="1"/>
        <v>Right Edge</v>
      </c>
      <c r="D32" s="12">
        <f t="shared" si="2"/>
        <v>1</v>
      </c>
      <c r="E32" s="13" t="str">
        <f t="shared" si="3"/>
        <v>バリ</v>
      </c>
      <c r="F32" s="14">
        <f t="shared" si="4"/>
        <v>4.5199999999999996</v>
      </c>
      <c r="G32" s="13" t="str">
        <f t="shared" si="5"/>
        <v>ヒゲ</v>
      </c>
      <c r="H32" s="14">
        <f t="shared" si="6"/>
        <v>5.8</v>
      </c>
    </row>
    <row r="33" spans="1:8" ht="17">
      <c r="A33" t="s">
        <v>49</v>
      </c>
      <c r="B33" s="11" t="str">
        <f t="shared" si="0"/>
        <v>DCH003484-50</v>
      </c>
      <c r="C33" s="11" t="str">
        <f t="shared" si="1"/>
        <v>Right Edge</v>
      </c>
      <c r="D33" s="12">
        <f t="shared" si="2"/>
        <v>2</v>
      </c>
      <c r="E33" s="13" t="str">
        <f t="shared" si="3"/>
        <v>バリ</v>
      </c>
      <c r="F33" s="14">
        <f t="shared" si="4"/>
        <v>4.21</v>
      </c>
      <c r="G33" s="13" t="str">
        <f t="shared" si="5"/>
        <v>バリ</v>
      </c>
      <c r="H33" s="14">
        <f t="shared" si="6"/>
        <v>6.04</v>
      </c>
    </row>
    <row r="34" spans="1:8" ht="17">
      <c r="A34" t="s">
        <v>50</v>
      </c>
      <c r="B34" s="11" t="str">
        <f t="shared" ref="B34:B65" si="7">IF(MID(A34,1,5)="80-50","DH26050758-50",IF(MID(A34,1,5)="84-12","CE26042384-12",IF(MID(A34,1,5)="84-50","DCH003484-50","該当なし")))</f>
        <v>DCH003484-50</v>
      </c>
      <c r="C34" s="11" t="str">
        <f t="shared" ref="C34:C65" si="8">IF(MID(A34,6,2)="TE","Top Edge",IF(MID(A34,6,2)="BM","Bottom Middle",IF(MID(A34,6,2)="Ct","Center",IF(MID(A34,6,2)="LE","Left Edge",IF(MID(A34,6,2)="RE","Right Edge","該当なし")))))</f>
        <v>Right Edge</v>
      </c>
      <c r="D34" s="12">
        <f t="shared" ref="D34:D65" si="9">IFERROR(MID(A34,8,2)*1,"該当なし")</f>
        <v>3</v>
      </c>
      <c r="E34" s="13" t="str">
        <f t="shared" ref="E34:E65" si="10">IFERROR(IF(MID(A34,FIND("_",A34)+1,1)="h","ヒゲ",IF(MID(A34,FIND("_",A34)+1,1)="b","バリ","該当なし")),"該当なし")</f>
        <v>バリ</v>
      </c>
      <c r="F34" s="14">
        <f t="shared" ref="F34:F65" si="11">IFERROR(MID(A34,FIND("_",A34)+2,FIND("um｜",A34)-FIND("_",A34)-2)*1,"該当なし")</f>
        <v>3.79</v>
      </c>
      <c r="G34" s="13" t="str">
        <f t="shared" ref="G34:G65" si="12">IFERROR(IF(MID(A34,FIND("｜",A34)+1,1)="h","ヒゲ",IF(MID(A34,FIND("｜",A34)+1,1)="b","バリ","該当なし")),"該当なし")</f>
        <v>バリ</v>
      </c>
      <c r="H34" s="14">
        <f t="shared" ref="H34:H65" si="13">IFERROR(MID(A34,FIND("｜",A34)+2,FIND("um.jpg",A34)-FIND("｜",A34)-2)*1,"該当なし")</f>
        <v>5.74</v>
      </c>
    </row>
    <row r="35" spans="1:8" ht="17">
      <c r="A35" t="s">
        <v>51</v>
      </c>
      <c r="B35" s="11" t="str">
        <f t="shared" si="7"/>
        <v>DCH003484-50</v>
      </c>
      <c r="C35" s="11" t="str">
        <f t="shared" si="8"/>
        <v>Right Edge</v>
      </c>
      <c r="D35" s="12">
        <f t="shared" si="9"/>
        <v>4</v>
      </c>
      <c r="E35" s="13" t="str">
        <f t="shared" si="10"/>
        <v>バリ</v>
      </c>
      <c r="F35" s="14">
        <f t="shared" si="11"/>
        <v>4.07</v>
      </c>
      <c r="G35" s="13" t="str">
        <f t="shared" si="12"/>
        <v>バリ</v>
      </c>
      <c r="H35" s="14">
        <f t="shared" si="13"/>
        <v>5.0999999999999996</v>
      </c>
    </row>
    <row r="36" spans="1:8" ht="17">
      <c r="A36" t="s">
        <v>52</v>
      </c>
      <c r="B36" s="11" t="str">
        <f t="shared" si="7"/>
        <v>DCH003484-50</v>
      </c>
      <c r="C36" s="11" t="str">
        <f t="shared" si="8"/>
        <v>Right Edge</v>
      </c>
      <c r="D36" s="12">
        <f t="shared" si="9"/>
        <v>5</v>
      </c>
      <c r="E36" s="13" t="str">
        <f t="shared" si="10"/>
        <v>バリ</v>
      </c>
      <c r="F36" s="14">
        <f t="shared" si="11"/>
        <v>4.74</v>
      </c>
      <c r="G36" s="13" t="str">
        <f t="shared" si="12"/>
        <v>バリ</v>
      </c>
      <c r="H36" s="14">
        <f t="shared" si="13"/>
        <v>5.27</v>
      </c>
    </row>
    <row r="37" spans="1:8" ht="17">
      <c r="A37" t="s">
        <v>53</v>
      </c>
      <c r="B37" s="11" t="str">
        <f t="shared" si="7"/>
        <v>DCH003484-50</v>
      </c>
      <c r="C37" s="11" t="str">
        <f t="shared" si="8"/>
        <v>Right Edge</v>
      </c>
      <c r="D37" s="12">
        <f t="shared" si="9"/>
        <v>6</v>
      </c>
      <c r="E37" s="13" t="str">
        <f t="shared" si="10"/>
        <v>バリ</v>
      </c>
      <c r="F37" s="14">
        <f t="shared" si="11"/>
        <v>4.5999999999999996</v>
      </c>
      <c r="G37" s="13" t="str">
        <f t="shared" si="12"/>
        <v>バリ</v>
      </c>
      <c r="H37" s="14">
        <f t="shared" si="13"/>
        <v>5.66</v>
      </c>
    </row>
    <row r="38" spans="1:8" ht="17">
      <c r="A38" t="s">
        <v>54</v>
      </c>
      <c r="B38" s="11" t="str">
        <f t="shared" si="7"/>
        <v>DCH003484-50</v>
      </c>
      <c r="C38" s="11" t="str">
        <f t="shared" si="8"/>
        <v>Right Edge</v>
      </c>
      <c r="D38" s="12">
        <f t="shared" si="9"/>
        <v>7</v>
      </c>
      <c r="E38" s="13" t="str">
        <f t="shared" si="10"/>
        <v>バリ</v>
      </c>
      <c r="F38" s="14">
        <f t="shared" si="11"/>
        <v>3.83</v>
      </c>
      <c r="G38" s="13" t="str">
        <f t="shared" si="12"/>
        <v>バリ</v>
      </c>
      <c r="H38" s="14">
        <f t="shared" si="13"/>
        <v>5.47</v>
      </c>
    </row>
    <row r="39" spans="1:8" ht="17">
      <c r="A39" t="s">
        <v>55</v>
      </c>
      <c r="B39" s="11" t="str">
        <f t="shared" si="7"/>
        <v>DCH003484-50</v>
      </c>
      <c r="C39" s="11" t="str">
        <f t="shared" si="8"/>
        <v>Right Edge</v>
      </c>
      <c r="D39" s="12">
        <f t="shared" si="9"/>
        <v>8</v>
      </c>
      <c r="E39" s="13" t="str">
        <f t="shared" si="10"/>
        <v>バリ</v>
      </c>
      <c r="F39" s="14">
        <f t="shared" si="11"/>
        <v>4.1100000000000003</v>
      </c>
      <c r="G39" s="13" t="str">
        <f t="shared" si="12"/>
        <v>バリ</v>
      </c>
      <c r="H39" s="14">
        <f t="shared" si="13"/>
        <v>6.03</v>
      </c>
    </row>
    <row r="40" spans="1:8" ht="17">
      <c r="A40" t="s">
        <v>56</v>
      </c>
      <c r="B40" s="11" t="str">
        <f t="shared" si="7"/>
        <v>DCH003484-50</v>
      </c>
      <c r="C40" s="11" t="str">
        <f t="shared" si="8"/>
        <v>Right Edge</v>
      </c>
      <c r="D40" s="12">
        <f t="shared" si="9"/>
        <v>9</v>
      </c>
      <c r="E40" s="13" t="str">
        <f t="shared" si="10"/>
        <v>バリ</v>
      </c>
      <c r="F40" s="14">
        <f t="shared" si="11"/>
        <v>4.3899999999999997</v>
      </c>
      <c r="G40" s="13" t="str">
        <f t="shared" si="12"/>
        <v>ヒゲ</v>
      </c>
      <c r="H40" s="14">
        <f t="shared" si="13"/>
        <v>5.16</v>
      </c>
    </row>
    <row r="41" spans="1:8" ht="17">
      <c r="A41" t="s">
        <v>57</v>
      </c>
      <c r="B41" s="11" t="str">
        <f t="shared" si="7"/>
        <v>DCH003484-50</v>
      </c>
      <c r="C41" s="11" t="str">
        <f t="shared" si="8"/>
        <v>Right Edge</v>
      </c>
      <c r="D41" s="12">
        <f t="shared" si="9"/>
        <v>10</v>
      </c>
      <c r="E41" s="13" t="str">
        <f t="shared" si="10"/>
        <v>バリ</v>
      </c>
      <c r="F41" s="14">
        <f t="shared" si="11"/>
        <v>4.53</v>
      </c>
      <c r="G41" s="13" t="str">
        <f t="shared" si="12"/>
        <v>バリ</v>
      </c>
      <c r="H41" s="14">
        <f t="shared" si="13"/>
        <v>6.14</v>
      </c>
    </row>
    <row r="42" spans="1:8" ht="17">
      <c r="A42" t="s">
        <v>58</v>
      </c>
      <c r="B42" s="11" t="str">
        <f t="shared" si="7"/>
        <v>DCH003484-50</v>
      </c>
      <c r="C42" s="11" t="str">
        <f t="shared" si="8"/>
        <v>Top Edge</v>
      </c>
      <c r="D42" s="12">
        <f t="shared" si="9"/>
        <v>1</v>
      </c>
      <c r="E42" s="13" t="str">
        <f t="shared" si="10"/>
        <v>バリ</v>
      </c>
      <c r="F42" s="14">
        <f t="shared" si="11"/>
        <v>4.3099999999999996</v>
      </c>
      <c r="G42" s="13" t="str">
        <f t="shared" si="12"/>
        <v>バリ</v>
      </c>
      <c r="H42" s="14">
        <f t="shared" si="13"/>
        <v>5.04</v>
      </c>
    </row>
    <row r="43" spans="1:8" ht="17">
      <c r="A43" t="s">
        <v>59</v>
      </c>
      <c r="B43" s="11" t="str">
        <f t="shared" si="7"/>
        <v>DCH003484-50</v>
      </c>
      <c r="C43" s="11" t="str">
        <f t="shared" si="8"/>
        <v>Top Edge</v>
      </c>
      <c r="D43" s="12">
        <f t="shared" si="9"/>
        <v>2</v>
      </c>
      <c r="E43" s="13" t="str">
        <f t="shared" si="10"/>
        <v>バリ</v>
      </c>
      <c r="F43" s="14">
        <f t="shared" si="11"/>
        <v>3.57</v>
      </c>
      <c r="G43" s="13" t="str">
        <f t="shared" si="12"/>
        <v>バリ</v>
      </c>
      <c r="H43" s="14">
        <f t="shared" si="13"/>
        <v>5.08</v>
      </c>
    </row>
    <row r="44" spans="1:8" ht="17">
      <c r="A44" t="s">
        <v>60</v>
      </c>
      <c r="B44" s="11" t="str">
        <f t="shared" si="7"/>
        <v>DCH003484-50</v>
      </c>
      <c r="C44" s="11" t="str">
        <f t="shared" si="8"/>
        <v>Top Edge</v>
      </c>
      <c r="D44" s="12">
        <f t="shared" si="9"/>
        <v>3</v>
      </c>
      <c r="E44" s="13" t="str">
        <f t="shared" si="10"/>
        <v>バリ</v>
      </c>
      <c r="F44" s="14">
        <f t="shared" si="11"/>
        <v>4.3899999999999997</v>
      </c>
      <c r="G44" s="13" t="str">
        <f t="shared" si="12"/>
        <v>バリ</v>
      </c>
      <c r="H44" s="14">
        <f t="shared" si="13"/>
        <v>6.2</v>
      </c>
    </row>
    <row r="45" spans="1:8" ht="17">
      <c r="A45" t="s">
        <v>61</v>
      </c>
      <c r="B45" s="11" t="str">
        <f t="shared" si="7"/>
        <v>DCH003484-50</v>
      </c>
      <c r="C45" s="11" t="str">
        <f t="shared" si="8"/>
        <v>Top Edge</v>
      </c>
      <c r="D45" s="12">
        <f t="shared" si="9"/>
        <v>4</v>
      </c>
      <c r="E45" s="13" t="str">
        <f t="shared" si="10"/>
        <v>バリ</v>
      </c>
      <c r="F45" s="14">
        <f t="shared" si="11"/>
        <v>4.22</v>
      </c>
      <c r="G45" s="13" t="str">
        <f t="shared" si="12"/>
        <v>バリ</v>
      </c>
      <c r="H45" s="14">
        <f t="shared" si="13"/>
        <v>5.05</v>
      </c>
    </row>
    <row r="46" spans="1:8" ht="17">
      <c r="A46" t="s">
        <v>62</v>
      </c>
      <c r="B46" s="11" t="str">
        <f t="shared" si="7"/>
        <v>DCH003484-50</v>
      </c>
      <c r="C46" s="11" t="str">
        <f t="shared" si="8"/>
        <v>Top Edge</v>
      </c>
      <c r="D46" s="12">
        <f t="shared" si="9"/>
        <v>5</v>
      </c>
      <c r="E46" s="13" t="str">
        <f t="shared" si="10"/>
        <v>バリ</v>
      </c>
      <c r="F46" s="14">
        <f t="shared" si="11"/>
        <v>3.52</v>
      </c>
      <c r="G46" s="13" t="str">
        <f t="shared" si="12"/>
        <v>バリ</v>
      </c>
      <c r="H46" s="14">
        <f t="shared" si="13"/>
        <v>5.24</v>
      </c>
    </row>
    <row r="47" spans="1:8" ht="17">
      <c r="A47" t="s">
        <v>63</v>
      </c>
      <c r="B47" s="11" t="str">
        <f t="shared" si="7"/>
        <v>DCH003484-50</v>
      </c>
      <c r="C47" s="11" t="str">
        <f t="shared" si="8"/>
        <v>Top Edge</v>
      </c>
      <c r="D47" s="12">
        <f t="shared" si="9"/>
        <v>6</v>
      </c>
      <c r="E47" s="13" t="str">
        <f t="shared" si="10"/>
        <v>バリ</v>
      </c>
      <c r="F47" s="14">
        <f t="shared" si="11"/>
        <v>4.17</v>
      </c>
      <c r="G47" s="13" t="str">
        <f t="shared" si="12"/>
        <v>ヒゲ</v>
      </c>
      <c r="H47" s="14">
        <f t="shared" si="13"/>
        <v>5.8</v>
      </c>
    </row>
    <row r="48" spans="1:8" ht="17">
      <c r="A48" t="s">
        <v>64</v>
      </c>
      <c r="B48" s="11" t="str">
        <f t="shared" si="7"/>
        <v>DCH003484-50</v>
      </c>
      <c r="C48" s="11" t="str">
        <f t="shared" si="8"/>
        <v>Top Edge</v>
      </c>
      <c r="D48" s="12">
        <f t="shared" si="9"/>
        <v>7</v>
      </c>
      <c r="E48" s="13" t="str">
        <f t="shared" si="10"/>
        <v>バリ</v>
      </c>
      <c r="F48" s="14">
        <f t="shared" si="11"/>
        <v>4.1399999999999997</v>
      </c>
      <c r="G48" s="13" t="str">
        <f t="shared" si="12"/>
        <v>ヒゲ</v>
      </c>
      <c r="H48" s="14">
        <f t="shared" si="13"/>
        <v>5.25</v>
      </c>
    </row>
    <row r="49" spans="1:8" ht="17">
      <c r="A49" t="s">
        <v>65</v>
      </c>
      <c r="B49" s="11" t="str">
        <f t="shared" si="7"/>
        <v>DCH003484-50</v>
      </c>
      <c r="C49" s="11" t="str">
        <f t="shared" si="8"/>
        <v>Top Edge</v>
      </c>
      <c r="D49" s="12">
        <f t="shared" si="9"/>
        <v>8</v>
      </c>
      <c r="E49" s="13" t="str">
        <f t="shared" si="10"/>
        <v>バリ</v>
      </c>
      <c r="F49" s="14">
        <f t="shared" si="11"/>
        <v>3.63</v>
      </c>
      <c r="G49" s="13" t="str">
        <f t="shared" si="12"/>
        <v>バリ</v>
      </c>
      <c r="H49" s="14">
        <f t="shared" si="13"/>
        <v>5.51</v>
      </c>
    </row>
    <row r="50" spans="1:8" ht="17">
      <c r="A50" t="s">
        <v>66</v>
      </c>
      <c r="B50" s="11" t="str">
        <f t="shared" si="7"/>
        <v>DCH003484-50</v>
      </c>
      <c r="C50" s="11" t="str">
        <f t="shared" si="8"/>
        <v>Top Edge</v>
      </c>
      <c r="D50" s="12">
        <f t="shared" si="9"/>
        <v>9</v>
      </c>
      <c r="E50" s="13" t="str">
        <f t="shared" si="10"/>
        <v>バリ</v>
      </c>
      <c r="F50" s="14">
        <f t="shared" si="11"/>
        <v>4.43</v>
      </c>
      <c r="G50" s="13" t="str">
        <f t="shared" si="12"/>
        <v>バリ</v>
      </c>
      <c r="H50" s="14">
        <f t="shared" si="13"/>
        <v>5.48</v>
      </c>
    </row>
    <row r="51" spans="1:8" ht="17">
      <c r="A51" t="s">
        <v>67</v>
      </c>
      <c r="B51" s="11" t="str">
        <f t="shared" si="7"/>
        <v>DCH003484-50</v>
      </c>
      <c r="C51" s="11" t="str">
        <f t="shared" si="8"/>
        <v>Top Edge</v>
      </c>
      <c r="D51" s="12">
        <f t="shared" si="9"/>
        <v>10</v>
      </c>
      <c r="E51" s="13" t="str">
        <f t="shared" si="10"/>
        <v>バリ</v>
      </c>
      <c r="F51" s="14">
        <f t="shared" si="11"/>
        <v>3.51</v>
      </c>
      <c r="G51" s="13" t="str">
        <f t="shared" si="12"/>
        <v>バリ</v>
      </c>
      <c r="H51" s="14">
        <f t="shared" si="13"/>
        <v>5.35</v>
      </c>
    </row>
    <row r="52" spans="1:8" ht="17">
      <c r="A52" s="11"/>
      <c r="B52" s="11" t="str">
        <f t="shared" si="7"/>
        <v>該当なし</v>
      </c>
      <c r="C52" s="11" t="str">
        <f t="shared" si="8"/>
        <v>該当なし</v>
      </c>
      <c r="D52" s="12" t="str">
        <f t="shared" si="9"/>
        <v>該当なし</v>
      </c>
      <c r="E52" s="13" t="str">
        <f t="shared" si="10"/>
        <v>該当なし</v>
      </c>
      <c r="F52" s="14" t="str">
        <f t="shared" si="11"/>
        <v>該当なし</v>
      </c>
      <c r="G52" s="13" t="str">
        <f t="shared" si="12"/>
        <v>該当なし</v>
      </c>
      <c r="H52" s="14" t="str">
        <f t="shared" si="13"/>
        <v>該当なし</v>
      </c>
    </row>
    <row r="53" spans="1:8" ht="17">
      <c r="A53" s="11"/>
      <c r="B53" s="11" t="str">
        <f t="shared" si="7"/>
        <v>該当なし</v>
      </c>
      <c r="C53" s="11" t="str">
        <f t="shared" si="8"/>
        <v>該当なし</v>
      </c>
      <c r="D53" s="12" t="str">
        <f t="shared" si="9"/>
        <v>該当なし</v>
      </c>
      <c r="E53" s="13" t="str">
        <f t="shared" si="10"/>
        <v>該当なし</v>
      </c>
      <c r="F53" s="14" t="str">
        <f t="shared" si="11"/>
        <v>該当なし</v>
      </c>
      <c r="G53" s="13" t="str">
        <f t="shared" si="12"/>
        <v>該当なし</v>
      </c>
      <c r="H53" s="14" t="str">
        <f t="shared" si="13"/>
        <v>該当なし</v>
      </c>
    </row>
    <row r="54" spans="1:8" ht="17">
      <c r="A54" s="11"/>
      <c r="B54" s="11" t="str">
        <f t="shared" si="7"/>
        <v>該当なし</v>
      </c>
      <c r="C54" s="11" t="str">
        <f t="shared" si="8"/>
        <v>該当なし</v>
      </c>
      <c r="D54" s="12" t="str">
        <f t="shared" si="9"/>
        <v>該当なし</v>
      </c>
      <c r="E54" s="13" t="str">
        <f t="shared" si="10"/>
        <v>該当なし</v>
      </c>
      <c r="F54" s="14" t="str">
        <f t="shared" si="11"/>
        <v>該当なし</v>
      </c>
      <c r="G54" s="13" t="str">
        <f t="shared" si="12"/>
        <v>該当なし</v>
      </c>
      <c r="H54" s="14" t="str">
        <f t="shared" si="13"/>
        <v>該当なし</v>
      </c>
    </row>
    <row r="55" spans="1:8" ht="17">
      <c r="A55" s="11"/>
      <c r="B55" s="11" t="str">
        <f t="shared" si="7"/>
        <v>該当なし</v>
      </c>
      <c r="C55" s="11" t="str">
        <f t="shared" si="8"/>
        <v>該当なし</v>
      </c>
      <c r="D55" s="12" t="str">
        <f t="shared" si="9"/>
        <v>該当なし</v>
      </c>
      <c r="E55" s="13" t="str">
        <f t="shared" si="10"/>
        <v>該当なし</v>
      </c>
      <c r="F55" s="14" t="str">
        <f t="shared" si="11"/>
        <v>該当なし</v>
      </c>
      <c r="G55" s="13" t="str">
        <f t="shared" si="12"/>
        <v>該当なし</v>
      </c>
      <c r="H55" s="14" t="str">
        <f t="shared" si="13"/>
        <v>該当なし</v>
      </c>
    </row>
    <row r="56" spans="1:8" ht="17">
      <c r="A56" s="11"/>
      <c r="B56" s="11" t="str">
        <f t="shared" si="7"/>
        <v>該当なし</v>
      </c>
      <c r="C56" s="11" t="str">
        <f t="shared" si="8"/>
        <v>該当なし</v>
      </c>
      <c r="D56" s="12" t="str">
        <f t="shared" si="9"/>
        <v>該当なし</v>
      </c>
      <c r="E56" s="13" t="str">
        <f t="shared" si="10"/>
        <v>該当なし</v>
      </c>
      <c r="F56" s="14" t="str">
        <f t="shared" si="11"/>
        <v>該当なし</v>
      </c>
      <c r="G56" s="13" t="str">
        <f t="shared" si="12"/>
        <v>該当なし</v>
      </c>
      <c r="H56" s="14" t="str">
        <f t="shared" si="13"/>
        <v>該当なし</v>
      </c>
    </row>
    <row r="57" spans="1:8" ht="17">
      <c r="A57" s="11"/>
      <c r="B57" s="11" t="str">
        <f t="shared" si="7"/>
        <v>該当なし</v>
      </c>
      <c r="C57" s="11" t="str">
        <f t="shared" si="8"/>
        <v>該当なし</v>
      </c>
      <c r="D57" s="12" t="str">
        <f t="shared" si="9"/>
        <v>該当なし</v>
      </c>
      <c r="E57" s="13" t="str">
        <f t="shared" si="10"/>
        <v>該当なし</v>
      </c>
      <c r="F57" s="14" t="str">
        <f t="shared" si="11"/>
        <v>該当なし</v>
      </c>
      <c r="G57" s="13" t="str">
        <f t="shared" si="12"/>
        <v>該当なし</v>
      </c>
      <c r="H57" s="14" t="str">
        <f t="shared" si="13"/>
        <v>該当なし</v>
      </c>
    </row>
    <row r="58" spans="1:8" ht="17">
      <c r="A58" s="11"/>
      <c r="B58" s="11" t="str">
        <f t="shared" si="7"/>
        <v>該当なし</v>
      </c>
      <c r="C58" s="11" t="str">
        <f t="shared" si="8"/>
        <v>該当なし</v>
      </c>
      <c r="D58" s="12" t="str">
        <f t="shared" si="9"/>
        <v>該当なし</v>
      </c>
      <c r="E58" s="13" t="str">
        <f t="shared" si="10"/>
        <v>該当なし</v>
      </c>
      <c r="F58" s="14" t="str">
        <f t="shared" si="11"/>
        <v>該当なし</v>
      </c>
      <c r="G58" s="13" t="str">
        <f t="shared" si="12"/>
        <v>該当なし</v>
      </c>
      <c r="H58" s="14" t="str">
        <f t="shared" si="13"/>
        <v>該当なし</v>
      </c>
    </row>
    <row r="59" spans="1:8" ht="17">
      <c r="A59" s="11"/>
      <c r="B59" s="11" t="str">
        <f t="shared" si="7"/>
        <v>該当なし</v>
      </c>
      <c r="C59" s="11" t="str">
        <f t="shared" si="8"/>
        <v>該当なし</v>
      </c>
      <c r="D59" s="12" t="str">
        <f t="shared" si="9"/>
        <v>該当なし</v>
      </c>
      <c r="E59" s="13" t="str">
        <f t="shared" si="10"/>
        <v>該当なし</v>
      </c>
      <c r="F59" s="14" t="str">
        <f t="shared" si="11"/>
        <v>該当なし</v>
      </c>
      <c r="G59" s="13" t="str">
        <f t="shared" si="12"/>
        <v>該当なし</v>
      </c>
      <c r="H59" s="14" t="str">
        <f t="shared" si="13"/>
        <v>該当なし</v>
      </c>
    </row>
    <row r="60" spans="1:8" ht="17">
      <c r="A60" s="11"/>
      <c r="B60" s="11" t="str">
        <f t="shared" si="7"/>
        <v>該当なし</v>
      </c>
      <c r="C60" s="11" t="str">
        <f t="shared" si="8"/>
        <v>該当なし</v>
      </c>
      <c r="D60" s="12" t="str">
        <f t="shared" si="9"/>
        <v>該当なし</v>
      </c>
      <c r="E60" s="13" t="str">
        <f t="shared" si="10"/>
        <v>該当なし</v>
      </c>
      <c r="F60" s="14" t="str">
        <f t="shared" si="11"/>
        <v>該当なし</v>
      </c>
      <c r="G60" s="13" t="str">
        <f t="shared" si="12"/>
        <v>該当なし</v>
      </c>
      <c r="H60" s="14" t="str">
        <f t="shared" si="13"/>
        <v>該当なし</v>
      </c>
    </row>
    <row r="61" spans="1:8" ht="17">
      <c r="A61" s="11"/>
      <c r="B61" s="11" t="str">
        <f t="shared" si="7"/>
        <v>該当なし</v>
      </c>
      <c r="C61" s="11" t="str">
        <f t="shared" si="8"/>
        <v>該当なし</v>
      </c>
      <c r="D61" s="12" t="str">
        <f t="shared" si="9"/>
        <v>該当なし</v>
      </c>
      <c r="E61" s="13" t="str">
        <f t="shared" si="10"/>
        <v>該当なし</v>
      </c>
      <c r="F61" s="14" t="str">
        <f t="shared" si="11"/>
        <v>該当なし</v>
      </c>
      <c r="G61" s="13" t="str">
        <f t="shared" si="12"/>
        <v>該当なし</v>
      </c>
      <c r="H61" s="14" t="str">
        <f t="shared" si="13"/>
        <v>該当なし</v>
      </c>
    </row>
    <row r="62" spans="1:8" ht="17">
      <c r="A62" s="11"/>
      <c r="B62" s="11" t="str">
        <f t="shared" si="7"/>
        <v>該当なし</v>
      </c>
      <c r="C62" s="11" t="str">
        <f t="shared" si="8"/>
        <v>該当なし</v>
      </c>
      <c r="D62" s="12" t="str">
        <f t="shared" si="9"/>
        <v>該当なし</v>
      </c>
      <c r="E62" s="13" t="str">
        <f t="shared" si="10"/>
        <v>該当なし</v>
      </c>
      <c r="F62" s="14" t="str">
        <f t="shared" si="11"/>
        <v>該当なし</v>
      </c>
      <c r="G62" s="13" t="str">
        <f t="shared" si="12"/>
        <v>該当なし</v>
      </c>
      <c r="H62" s="14" t="str">
        <f t="shared" si="13"/>
        <v>該当なし</v>
      </c>
    </row>
    <row r="63" spans="1:8" ht="17">
      <c r="A63" s="11"/>
      <c r="B63" s="11" t="str">
        <f t="shared" si="7"/>
        <v>該当なし</v>
      </c>
      <c r="C63" s="11" t="str">
        <f t="shared" si="8"/>
        <v>該当なし</v>
      </c>
      <c r="D63" s="12" t="str">
        <f t="shared" si="9"/>
        <v>該当なし</v>
      </c>
      <c r="E63" s="13" t="str">
        <f t="shared" si="10"/>
        <v>該当なし</v>
      </c>
      <c r="F63" s="14" t="str">
        <f t="shared" si="11"/>
        <v>該当なし</v>
      </c>
      <c r="G63" s="13" t="str">
        <f t="shared" si="12"/>
        <v>該当なし</v>
      </c>
      <c r="H63" s="14" t="str">
        <f t="shared" si="13"/>
        <v>該当なし</v>
      </c>
    </row>
    <row r="64" spans="1:8" ht="17">
      <c r="A64" s="11"/>
      <c r="B64" s="11" t="str">
        <f t="shared" si="7"/>
        <v>該当なし</v>
      </c>
      <c r="C64" s="11" t="str">
        <f t="shared" si="8"/>
        <v>該当なし</v>
      </c>
      <c r="D64" s="12" t="str">
        <f t="shared" si="9"/>
        <v>該当なし</v>
      </c>
      <c r="E64" s="13" t="str">
        <f t="shared" si="10"/>
        <v>該当なし</v>
      </c>
      <c r="F64" s="14" t="str">
        <f t="shared" si="11"/>
        <v>該当なし</v>
      </c>
      <c r="G64" s="13" t="str">
        <f t="shared" si="12"/>
        <v>該当なし</v>
      </c>
      <c r="H64" s="14" t="str">
        <f t="shared" si="13"/>
        <v>該当なし</v>
      </c>
    </row>
    <row r="65" spans="1:8" ht="17">
      <c r="A65" s="11"/>
      <c r="B65" s="11" t="str">
        <f t="shared" si="7"/>
        <v>該当なし</v>
      </c>
      <c r="C65" s="11" t="str">
        <f t="shared" si="8"/>
        <v>該当なし</v>
      </c>
      <c r="D65" s="12" t="str">
        <f t="shared" si="9"/>
        <v>該当なし</v>
      </c>
      <c r="E65" s="13" t="str">
        <f t="shared" si="10"/>
        <v>該当なし</v>
      </c>
      <c r="F65" s="14" t="str">
        <f t="shared" si="11"/>
        <v>該当なし</v>
      </c>
      <c r="G65" s="13" t="str">
        <f t="shared" si="12"/>
        <v>該当なし</v>
      </c>
      <c r="H65" s="14" t="str">
        <f t="shared" si="13"/>
        <v>該当なし</v>
      </c>
    </row>
    <row r="66" spans="1:8" ht="17">
      <c r="A66" s="11"/>
      <c r="B66" s="11" t="str">
        <f t="shared" ref="B66:B97" si="14">IF(MID(A66,1,5)="80-50","DH26050758-50",IF(MID(A66,1,5)="84-12","CE26042384-12",IF(MID(A66,1,5)="84-50","DCH003484-50","該当なし")))</f>
        <v>該当なし</v>
      </c>
      <c r="C66" s="11" t="str">
        <f t="shared" ref="C66:C97" si="15">IF(MID(A66,6,2)="TE","Top Edge",IF(MID(A66,6,2)="BM","Bottom Middle",IF(MID(A66,6,2)="Ct","Center",IF(MID(A66,6,2)="LE","Left Edge",IF(MID(A66,6,2)="RE","Right Edge","該当なし")))))</f>
        <v>該当なし</v>
      </c>
      <c r="D66" s="12" t="str">
        <f t="shared" ref="D66:D97" si="16">IFERROR(MID(A66,8,2)*1,"該当なし")</f>
        <v>該当なし</v>
      </c>
      <c r="E66" s="13" t="str">
        <f t="shared" ref="E66:E97" si="17">IFERROR(IF(MID(A66,FIND("_",A66)+1,1)="h","ヒゲ",IF(MID(A66,FIND("_",A66)+1,1)="b","バリ","該当なし")),"該当なし")</f>
        <v>該当なし</v>
      </c>
      <c r="F66" s="14" t="str">
        <f t="shared" ref="F66:F97" si="18">IFERROR(MID(A66,FIND("_",A66)+2,FIND("um｜",A66)-FIND("_",A66)-2)*1,"該当なし")</f>
        <v>該当なし</v>
      </c>
      <c r="G66" s="13" t="str">
        <f t="shared" ref="G66:G97" si="19">IFERROR(IF(MID(A66,FIND("｜",A66)+1,1)="h","ヒゲ",IF(MID(A66,FIND("｜",A66)+1,1)="b","バリ","該当なし")),"該当なし")</f>
        <v>該当なし</v>
      </c>
      <c r="H66" s="14" t="str">
        <f t="shared" ref="H66:H97" si="20">IFERROR(MID(A66,FIND("｜",A66)+2,FIND("um.jpg",A66)-FIND("｜",A66)-2)*1,"該当なし")</f>
        <v>該当なし</v>
      </c>
    </row>
    <row r="67" spans="1:8" ht="17">
      <c r="A67" s="11"/>
      <c r="B67" s="11" t="str">
        <f t="shared" si="14"/>
        <v>該当なし</v>
      </c>
      <c r="C67" s="11" t="str">
        <f t="shared" si="15"/>
        <v>該当なし</v>
      </c>
      <c r="D67" s="12" t="str">
        <f t="shared" si="16"/>
        <v>該当なし</v>
      </c>
      <c r="E67" s="13" t="str">
        <f t="shared" si="17"/>
        <v>該当なし</v>
      </c>
      <c r="F67" s="14" t="str">
        <f t="shared" si="18"/>
        <v>該当なし</v>
      </c>
      <c r="G67" s="13" t="str">
        <f t="shared" si="19"/>
        <v>該当なし</v>
      </c>
      <c r="H67" s="14" t="str">
        <f t="shared" si="20"/>
        <v>該当なし</v>
      </c>
    </row>
    <row r="68" spans="1:8" ht="17">
      <c r="A68" s="11"/>
      <c r="B68" s="11" t="str">
        <f t="shared" si="14"/>
        <v>該当なし</v>
      </c>
      <c r="C68" s="11" t="str">
        <f t="shared" si="15"/>
        <v>該当なし</v>
      </c>
      <c r="D68" s="12" t="str">
        <f t="shared" si="16"/>
        <v>該当なし</v>
      </c>
      <c r="E68" s="13" t="str">
        <f t="shared" si="17"/>
        <v>該当なし</v>
      </c>
      <c r="F68" s="14" t="str">
        <f t="shared" si="18"/>
        <v>該当なし</v>
      </c>
      <c r="G68" s="13" t="str">
        <f t="shared" si="19"/>
        <v>該当なし</v>
      </c>
      <c r="H68" s="14" t="str">
        <f t="shared" si="20"/>
        <v>該当なし</v>
      </c>
    </row>
    <row r="69" spans="1:8" ht="17">
      <c r="A69" s="11"/>
      <c r="B69" s="11" t="str">
        <f t="shared" si="14"/>
        <v>該当なし</v>
      </c>
      <c r="C69" s="11" t="str">
        <f t="shared" si="15"/>
        <v>該当なし</v>
      </c>
      <c r="D69" s="12" t="str">
        <f t="shared" si="16"/>
        <v>該当なし</v>
      </c>
      <c r="E69" s="13" t="str">
        <f t="shared" si="17"/>
        <v>該当なし</v>
      </c>
      <c r="F69" s="14" t="str">
        <f t="shared" si="18"/>
        <v>該当なし</v>
      </c>
      <c r="G69" s="13" t="str">
        <f t="shared" si="19"/>
        <v>該当なし</v>
      </c>
      <c r="H69" s="14" t="str">
        <f t="shared" si="20"/>
        <v>該当なし</v>
      </c>
    </row>
    <row r="70" spans="1:8" ht="17">
      <c r="A70" s="11"/>
      <c r="B70" s="11" t="str">
        <f t="shared" si="14"/>
        <v>該当なし</v>
      </c>
      <c r="C70" s="11" t="str">
        <f t="shared" si="15"/>
        <v>該当なし</v>
      </c>
      <c r="D70" s="12" t="str">
        <f t="shared" si="16"/>
        <v>該当なし</v>
      </c>
      <c r="E70" s="13" t="str">
        <f t="shared" si="17"/>
        <v>該当なし</v>
      </c>
      <c r="F70" s="14" t="str">
        <f t="shared" si="18"/>
        <v>該当なし</v>
      </c>
      <c r="G70" s="13" t="str">
        <f t="shared" si="19"/>
        <v>該当なし</v>
      </c>
      <c r="H70" s="14" t="str">
        <f t="shared" si="20"/>
        <v>該当なし</v>
      </c>
    </row>
    <row r="71" spans="1:8" ht="17">
      <c r="A71" s="11"/>
      <c r="B71" s="11" t="str">
        <f t="shared" si="14"/>
        <v>該当なし</v>
      </c>
      <c r="C71" s="11" t="str">
        <f t="shared" si="15"/>
        <v>該当なし</v>
      </c>
      <c r="D71" s="12" t="str">
        <f t="shared" si="16"/>
        <v>該当なし</v>
      </c>
      <c r="E71" s="13" t="str">
        <f t="shared" si="17"/>
        <v>該当なし</v>
      </c>
      <c r="F71" s="14" t="str">
        <f t="shared" si="18"/>
        <v>該当なし</v>
      </c>
      <c r="G71" s="13" t="str">
        <f t="shared" si="19"/>
        <v>該当なし</v>
      </c>
      <c r="H71" s="14" t="str">
        <f t="shared" si="20"/>
        <v>該当なし</v>
      </c>
    </row>
    <row r="72" spans="1:8" ht="17">
      <c r="A72" s="11"/>
      <c r="B72" s="11" t="str">
        <f t="shared" si="14"/>
        <v>該当なし</v>
      </c>
      <c r="C72" s="11" t="str">
        <f t="shared" si="15"/>
        <v>該当なし</v>
      </c>
      <c r="D72" s="12" t="str">
        <f t="shared" si="16"/>
        <v>該当なし</v>
      </c>
      <c r="E72" s="13" t="str">
        <f t="shared" si="17"/>
        <v>該当なし</v>
      </c>
      <c r="F72" s="14" t="str">
        <f t="shared" si="18"/>
        <v>該当なし</v>
      </c>
      <c r="G72" s="13" t="str">
        <f t="shared" si="19"/>
        <v>該当なし</v>
      </c>
      <c r="H72" s="14" t="str">
        <f t="shared" si="20"/>
        <v>該当なし</v>
      </c>
    </row>
    <row r="73" spans="1:8" ht="17">
      <c r="A73" s="11"/>
      <c r="B73" s="11" t="str">
        <f t="shared" si="14"/>
        <v>該当なし</v>
      </c>
      <c r="C73" s="11" t="str">
        <f t="shared" si="15"/>
        <v>該当なし</v>
      </c>
      <c r="D73" s="12" t="str">
        <f t="shared" si="16"/>
        <v>該当なし</v>
      </c>
      <c r="E73" s="13" t="str">
        <f t="shared" si="17"/>
        <v>該当なし</v>
      </c>
      <c r="F73" s="14" t="str">
        <f t="shared" si="18"/>
        <v>該当なし</v>
      </c>
      <c r="G73" s="13" t="str">
        <f t="shared" si="19"/>
        <v>該当なし</v>
      </c>
      <c r="H73" s="14" t="str">
        <f t="shared" si="20"/>
        <v>該当なし</v>
      </c>
    </row>
    <row r="74" spans="1:8" ht="17">
      <c r="A74" s="11"/>
      <c r="B74" s="11" t="str">
        <f t="shared" si="14"/>
        <v>該当なし</v>
      </c>
      <c r="C74" s="11" t="str">
        <f t="shared" si="15"/>
        <v>該当なし</v>
      </c>
      <c r="D74" s="12" t="str">
        <f t="shared" si="16"/>
        <v>該当なし</v>
      </c>
      <c r="E74" s="13" t="str">
        <f t="shared" si="17"/>
        <v>該当なし</v>
      </c>
      <c r="F74" s="14" t="str">
        <f t="shared" si="18"/>
        <v>該当なし</v>
      </c>
      <c r="G74" s="13" t="str">
        <f t="shared" si="19"/>
        <v>該当なし</v>
      </c>
      <c r="H74" s="14" t="str">
        <f t="shared" si="20"/>
        <v>該当なし</v>
      </c>
    </row>
    <row r="75" spans="1:8" ht="17">
      <c r="A75" s="11"/>
      <c r="B75" s="11" t="str">
        <f t="shared" si="14"/>
        <v>該当なし</v>
      </c>
      <c r="C75" s="11" t="str">
        <f t="shared" si="15"/>
        <v>該当なし</v>
      </c>
      <c r="D75" s="12" t="str">
        <f t="shared" si="16"/>
        <v>該当なし</v>
      </c>
      <c r="E75" s="13" t="str">
        <f t="shared" si="17"/>
        <v>該当なし</v>
      </c>
      <c r="F75" s="14" t="str">
        <f t="shared" si="18"/>
        <v>該当なし</v>
      </c>
      <c r="G75" s="13" t="str">
        <f t="shared" si="19"/>
        <v>該当なし</v>
      </c>
      <c r="H75" s="14" t="str">
        <f t="shared" si="20"/>
        <v>該当なし</v>
      </c>
    </row>
    <row r="76" spans="1:8" ht="17">
      <c r="A76" s="11"/>
      <c r="B76" s="11" t="str">
        <f t="shared" si="14"/>
        <v>該当なし</v>
      </c>
      <c r="C76" s="11" t="str">
        <f t="shared" si="15"/>
        <v>該当なし</v>
      </c>
      <c r="D76" s="12" t="str">
        <f t="shared" si="16"/>
        <v>該当なし</v>
      </c>
      <c r="E76" s="13" t="str">
        <f t="shared" si="17"/>
        <v>該当なし</v>
      </c>
      <c r="F76" s="14" t="str">
        <f t="shared" si="18"/>
        <v>該当なし</v>
      </c>
      <c r="G76" s="13" t="str">
        <f t="shared" si="19"/>
        <v>該当なし</v>
      </c>
      <c r="H76" s="14" t="str">
        <f t="shared" si="20"/>
        <v>該当なし</v>
      </c>
    </row>
    <row r="77" spans="1:8" ht="17">
      <c r="A77" s="11"/>
      <c r="B77" s="11" t="str">
        <f t="shared" si="14"/>
        <v>該当なし</v>
      </c>
      <c r="C77" s="11" t="str">
        <f t="shared" si="15"/>
        <v>該当なし</v>
      </c>
      <c r="D77" s="12" t="str">
        <f t="shared" si="16"/>
        <v>該当なし</v>
      </c>
      <c r="E77" s="13" t="str">
        <f t="shared" si="17"/>
        <v>該当なし</v>
      </c>
      <c r="F77" s="14" t="str">
        <f t="shared" si="18"/>
        <v>該当なし</v>
      </c>
      <c r="G77" s="13" t="str">
        <f t="shared" si="19"/>
        <v>該当なし</v>
      </c>
      <c r="H77" s="14" t="str">
        <f t="shared" si="20"/>
        <v>該当なし</v>
      </c>
    </row>
    <row r="78" spans="1:8" ht="17">
      <c r="A78" s="11"/>
      <c r="B78" s="11" t="str">
        <f t="shared" si="14"/>
        <v>該当なし</v>
      </c>
      <c r="C78" s="11" t="str">
        <f t="shared" si="15"/>
        <v>該当なし</v>
      </c>
      <c r="D78" s="12" t="str">
        <f t="shared" si="16"/>
        <v>該当なし</v>
      </c>
      <c r="E78" s="13" t="str">
        <f t="shared" si="17"/>
        <v>該当なし</v>
      </c>
      <c r="F78" s="14" t="str">
        <f t="shared" si="18"/>
        <v>該当なし</v>
      </c>
      <c r="G78" s="13" t="str">
        <f t="shared" si="19"/>
        <v>該当なし</v>
      </c>
      <c r="H78" s="14" t="str">
        <f t="shared" si="20"/>
        <v>該当なし</v>
      </c>
    </row>
    <row r="79" spans="1:8" ht="17">
      <c r="A79" s="11"/>
      <c r="B79" s="11" t="str">
        <f t="shared" si="14"/>
        <v>該当なし</v>
      </c>
      <c r="C79" s="11" t="str">
        <f t="shared" si="15"/>
        <v>該当なし</v>
      </c>
      <c r="D79" s="12" t="str">
        <f t="shared" si="16"/>
        <v>該当なし</v>
      </c>
      <c r="E79" s="13" t="str">
        <f t="shared" si="17"/>
        <v>該当なし</v>
      </c>
      <c r="F79" s="14" t="str">
        <f t="shared" si="18"/>
        <v>該当なし</v>
      </c>
      <c r="G79" s="13" t="str">
        <f t="shared" si="19"/>
        <v>該当なし</v>
      </c>
      <c r="H79" s="14" t="str">
        <f t="shared" si="20"/>
        <v>該当なし</v>
      </c>
    </row>
    <row r="80" spans="1:8" ht="17">
      <c r="A80" s="11"/>
      <c r="B80" s="11" t="str">
        <f t="shared" si="14"/>
        <v>該当なし</v>
      </c>
      <c r="C80" s="11" t="str">
        <f t="shared" si="15"/>
        <v>該当なし</v>
      </c>
      <c r="D80" s="12" t="str">
        <f t="shared" si="16"/>
        <v>該当なし</v>
      </c>
      <c r="E80" s="13" t="str">
        <f t="shared" si="17"/>
        <v>該当なし</v>
      </c>
      <c r="F80" s="14" t="str">
        <f t="shared" si="18"/>
        <v>該当なし</v>
      </c>
      <c r="G80" s="13" t="str">
        <f t="shared" si="19"/>
        <v>該当なし</v>
      </c>
      <c r="H80" s="14" t="str">
        <f t="shared" si="20"/>
        <v>該当なし</v>
      </c>
    </row>
    <row r="81" spans="1:8" ht="17">
      <c r="A81" s="11"/>
      <c r="B81" s="11" t="str">
        <f t="shared" si="14"/>
        <v>該当なし</v>
      </c>
      <c r="C81" s="11" t="str">
        <f t="shared" si="15"/>
        <v>該当なし</v>
      </c>
      <c r="D81" s="12" t="str">
        <f t="shared" si="16"/>
        <v>該当なし</v>
      </c>
      <c r="E81" s="13" t="str">
        <f t="shared" si="17"/>
        <v>該当なし</v>
      </c>
      <c r="F81" s="14" t="str">
        <f t="shared" si="18"/>
        <v>該当なし</v>
      </c>
      <c r="G81" s="13" t="str">
        <f t="shared" si="19"/>
        <v>該当なし</v>
      </c>
      <c r="H81" s="14" t="str">
        <f t="shared" si="20"/>
        <v>該当なし</v>
      </c>
    </row>
    <row r="82" spans="1:8" ht="17">
      <c r="A82" s="11"/>
      <c r="B82" s="11" t="str">
        <f t="shared" si="14"/>
        <v>該当なし</v>
      </c>
      <c r="C82" s="11" t="str">
        <f t="shared" si="15"/>
        <v>該当なし</v>
      </c>
      <c r="D82" s="12" t="str">
        <f t="shared" si="16"/>
        <v>該当なし</v>
      </c>
      <c r="E82" s="13" t="str">
        <f t="shared" si="17"/>
        <v>該当なし</v>
      </c>
      <c r="F82" s="14" t="str">
        <f t="shared" si="18"/>
        <v>該当なし</v>
      </c>
      <c r="G82" s="13" t="str">
        <f t="shared" si="19"/>
        <v>該当なし</v>
      </c>
      <c r="H82" s="14" t="str">
        <f t="shared" si="20"/>
        <v>該当なし</v>
      </c>
    </row>
    <row r="83" spans="1:8" ht="17">
      <c r="A83" s="11"/>
      <c r="B83" s="11" t="str">
        <f t="shared" si="14"/>
        <v>該当なし</v>
      </c>
      <c r="C83" s="11" t="str">
        <f t="shared" si="15"/>
        <v>該当なし</v>
      </c>
      <c r="D83" s="12" t="str">
        <f t="shared" si="16"/>
        <v>該当なし</v>
      </c>
      <c r="E83" s="13" t="str">
        <f t="shared" si="17"/>
        <v>該当なし</v>
      </c>
      <c r="F83" s="14" t="str">
        <f t="shared" si="18"/>
        <v>該当なし</v>
      </c>
      <c r="G83" s="13" t="str">
        <f t="shared" si="19"/>
        <v>該当なし</v>
      </c>
      <c r="H83" s="14" t="str">
        <f t="shared" si="20"/>
        <v>該当なし</v>
      </c>
    </row>
    <row r="84" spans="1:8" ht="17">
      <c r="A84" s="11"/>
      <c r="B84" s="11" t="str">
        <f t="shared" si="14"/>
        <v>該当なし</v>
      </c>
      <c r="C84" s="11" t="str">
        <f t="shared" si="15"/>
        <v>該当なし</v>
      </c>
      <c r="D84" s="12" t="str">
        <f t="shared" si="16"/>
        <v>該当なし</v>
      </c>
      <c r="E84" s="13" t="str">
        <f t="shared" si="17"/>
        <v>該当なし</v>
      </c>
      <c r="F84" s="14" t="str">
        <f t="shared" si="18"/>
        <v>該当なし</v>
      </c>
      <c r="G84" s="13" t="str">
        <f t="shared" si="19"/>
        <v>該当なし</v>
      </c>
      <c r="H84" s="14" t="str">
        <f t="shared" si="20"/>
        <v>該当なし</v>
      </c>
    </row>
    <row r="85" spans="1:8" ht="17">
      <c r="A85" s="11"/>
      <c r="B85" s="11" t="str">
        <f t="shared" si="14"/>
        <v>該当なし</v>
      </c>
      <c r="C85" s="11" t="str">
        <f t="shared" si="15"/>
        <v>該当なし</v>
      </c>
      <c r="D85" s="12" t="str">
        <f t="shared" si="16"/>
        <v>該当なし</v>
      </c>
      <c r="E85" s="13" t="str">
        <f t="shared" si="17"/>
        <v>該当なし</v>
      </c>
      <c r="F85" s="14" t="str">
        <f t="shared" si="18"/>
        <v>該当なし</v>
      </c>
      <c r="G85" s="13" t="str">
        <f t="shared" si="19"/>
        <v>該当なし</v>
      </c>
      <c r="H85" s="14" t="str">
        <f t="shared" si="20"/>
        <v>該当なし</v>
      </c>
    </row>
    <row r="86" spans="1:8" ht="17">
      <c r="A86" s="11"/>
      <c r="B86" s="11" t="str">
        <f t="shared" si="14"/>
        <v>該当なし</v>
      </c>
      <c r="C86" s="11" t="str">
        <f t="shared" si="15"/>
        <v>該当なし</v>
      </c>
      <c r="D86" s="12" t="str">
        <f t="shared" si="16"/>
        <v>該当なし</v>
      </c>
      <c r="E86" s="13" t="str">
        <f t="shared" si="17"/>
        <v>該当なし</v>
      </c>
      <c r="F86" s="14" t="str">
        <f t="shared" si="18"/>
        <v>該当なし</v>
      </c>
      <c r="G86" s="13" t="str">
        <f t="shared" si="19"/>
        <v>該当なし</v>
      </c>
      <c r="H86" s="14" t="str">
        <f t="shared" si="20"/>
        <v>該当なし</v>
      </c>
    </row>
    <row r="87" spans="1:8" ht="17">
      <c r="A87" s="11"/>
      <c r="B87" s="11" t="str">
        <f t="shared" si="14"/>
        <v>該当なし</v>
      </c>
      <c r="C87" s="11" t="str">
        <f t="shared" si="15"/>
        <v>該当なし</v>
      </c>
      <c r="D87" s="12" t="str">
        <f t="shared" si="16"/>
        <v>該当なし</v>
      </c>
      <c r="E87" s="13" t="str">
        <f t="shared" si="17"/>
        <v>該当なし</v>
      </c>
      <c r="F87" s="14" t="str">
        <f t="shared" si="18"/>
        <v>該当なし</v>
      </c>
      <c r="G87" s="13" t="str">
        <f t="shared" si="19"/>
        <v>該当なし</v>
      </c>
      <c r="H87" s="14" t="str">
        <f t="shared" si="20"/>
        <v>該当なし</v>
      </c>
    </row>
    <row r="88" spans="1:8" ht="17">
      <c r="A88" s="11"/>
      <c r="B88" s="11" t="str">
        <f t="shared" si="14"/>
        <v>該当なし</v>
      </c>
      <c r="C88" s="11" t="str">
        <f t="shared" si="15"/>
        <v>該当なし</v>
      </c>
      <c r="D88" s="12" t="str">
        <f t="shared" si="16"/>
        <v>該当なし</v>
      </c>
      <c r="E88" s="13" t="str">
        <f t="shared" si="17"/>
        <v>該当なし</v>
      </c>
      <c r="F88" s="14" t="str">
        <f t="shared" si="18"/>
        <v>該当なし</v>
      </c>
      <c r="G88" s="13" t="str">
        <f t="shared" si="19"/>
        <v>該当なし</v>
      </c>
      <c r="H88" s="14" t="str">
        <f t="shared" si="20"/>
        <v>該当なし</v>
      </c>
    </row>
    <row r="89" spans="1:8" ht="17">
      <c r="A89" s="11"/>
      <c r="B89" s="11" t="str">
        <f t="shared" si="14"/>
        <v>該当なし</v>
      </c>
      <c r="C89" s="11" t="str">
        <f t="shared" si="15"/>
        <v>該当なし</v>
      </c>
      <c r="D89" s="12" t="str">
        <f t="shared" si="16"/>
        <v>該当なし</v>
      </c>
      <c r="E89" s="13" t="str">
        <f t="shared" si="17"/>
        <v>該当なし</v>
      </c>
      <c r="F89" s="14" t="str">
        <f t="shared" si="18"/>
        <v>該当なし</v>
      </c>
      <c r="G89" s="13" t="str">
        <f t="shared" si="19"/>
        <v>該当なし</v>
      </c>
      <c r="H89" s="14" t="str">
        <f t="shared" si="20"/>
        <v>該当なし</v>
      </c>
    </row>
    <row r="90" spans="1:8" ht="17">
      <c r="A90" s="11"/>
      <c r="B90" s="11" t="str">
        <f t="shared" si="14"/>
        <v>該当なし</v>
      </c>
      <c r="C90" s="11" t="str">
        <f t="shared" si="15"/>
        <v>該当なし</v>
      </c>
      <c r="D90" s="12" t="str">
        <f t="shared" si="16"/>
        <v>該当なし</v>
      </c>
      <c r="E90" s="13" t="str">
        <f t="shared" si="17"/>
        <v>該当なし</v>
      </c>
      <c r="F90" s="14" t="str">
        <f t="shared" si="18"/>
        <v>該当なし</v>
      </c>
      <c r="G90" s="13" t="str">
        <f t="shared" si="19"/>
        <v>該当なし</v>
      </c>
      <c r="H90" s="14" t="str">
        <f t="shared" si="20"/>
        <v>該当なし</v>
      </c>
    </row>
    <row r="91" spans="1:8" ht="17">
      <c r="A91" s="11"/>
      <c r="B91" s="11" t="str">
        <f t="shared" si="14"/>
        <v>該当なし</v>
      </c>
      <c r="C91" s="11" t="str">
        <f t="shared" si="15"/>
        <v>該当なし</v>
      </c>
      <c r="D91" s="12" t="str">
        <f t="shared" si="16"/>
        <v>該当なし</v>
      </c>
      <c r="E91" s="13" t="str">
        <f t="shared" si="17"/>
        <v>該当なし</v>
      </c>
      <c r="F91" s="14" t="str">
        <f t="shared" si="18"/>
        <v>該当なし</v>
      </c>
      <c r="G91" s="13" t="str">
        <f t="shared" si="19"/>
        <v>該当なし</v>
      </c>
      <c r="H91" s="14" t="str">
        <f t="shared" si="20"/>
        <v>該当なし</v>
      </c>
    </row>
    <row r="92" spans="1:8" ht="17">
      <c r="A92" s="11"/>
      <c r="B92" s="11" t="str">
        <f t="shared" si="14"/>
        <v>該当なし</v>
      </c>
      <c r="C92" s="11" t="str">
        <f t="shared" si="15"/>
        <v>該当なし</v>
      </c>
      <c r="D92" s="12" t="str">
        <f t="shared" si="16"/>
        <v>該当なし</v>
      </c>
      <c r="E92" s="13" t="str">
        <f t="shared" si="17"/>
        <v>該当なし</v>
      </c>
      <c r="F92" s="14" t="str">
        <f t="shared" si="18"/>
        <v>該当なし</v>
      </c>
      <c r="G92" s="13" t="str">
        <f t="shared" si="19"/>
        <v>該当なし</v>
      </c>
      <c r="H92" s="14" t="str">
        <f t="shared" si="20"/>
        <v>該当なし</v>
      </c>
    </row>
    <row r="93" spans="1:8" ht="17">
      <c r="A93" s="11"/>
      <c r="B93" s="11" t="str">
        <f t="shared" si="14"/>
        <v>該当なし</v>
      </c>
      <c r="C93" s="11" t="str">
        <f t="shared" si="15"/>
        <v>該当なし</v>
      </c>
      <c r="D93" s="12" t="str">
        <f t="shared" si="16"/>
        <v>該当なし</v>
      </c>
      <c r="E93" s="13" t="str">
        <f t="shared" si="17"/>
        <v>該当なし</v>
      </c>
      <c r="F93" s="14" t="str">
        <f t="shared" si="18"/>
        <v>該当なし</v>
      </c>
      <c r="G93" s="13" t="str">
        <f t="shared" si="19"/>
        <v>該当なし</v>
      </c>
      <c r="H93" s="14" t="str">
        <f t="shared" si="20"/>
        <v>該当なし</v>
      </c>
    </row>
    <row r="94" spans="1:8" ht="17">
      <c r="A94" s="11"/>
      <c r="B94" s="11" t="str">
        <f t="shared" si="14"/>
        <v>該当なし</v>
      </c>
      <c r="C94" s="11" t="str">
        <f t="shared" si="15"/>
        <v>該当なし</v>
      </c>
      <c r="D94" s="12" t="str">
        <f t="shared" si="16"/>
        <v>該当なし</v>
      </c>
      <c r="E94" s="13" t="str">
        <f t="shared" si="17"/>
        <v>該当なし</v>
      </c>
      <c r="F94" s="14" t="str">
        <f t="shared" si="18"/>
        <v>該当なし</v>
      </c>
      <c r="G94" s="13" t="str">
        <f t="shared" si="19"/>
        <v>該当なし</v>
      </c>
      <c r="H94" s="14" t="str">
        <f t="shared" si="20"/>
        <v>該当なし</v>
      </c>
    </row>
    <row r="95" spans="1:8" ht="17">
      <c r="A95" s="11"/>
      <c r="B95" s="11" t="str">
        <f t="shared" si="14"/>
        <v>該当なし</v>
      </c>
      <c r="C95" s="11" t="str">
        <f t="shared" si="15"/>
        <v>該当なし</v>
      </c>
      <c r="D95" s="12" t="str">
        <f t="shared" si="16"/>
        <v>該当なし</v>
      </c>
      <c r="E95" s="13" t="str">
        <f t="shared" si="17"/>
        <v>該当なし</v>
      </c>
      <c r="F95" s="14" t="str">
        <f t="shared" si="18"/>
        <v>該当なし</v>
      </c>
      <c r="G95" s="13" t="str">
        <f t="shared" si="19"/>
        <v>該当なし</v>
      </c>
      <c r="H95" s="14" t="str">
        <f t="shared" si="20"/>
        <v>該当なし</v>
      </c>
    </row>
    <row r="96" spans="1:8" ht="17">
      <c r="A96" s="11"/>
      <c r="B96" s="11" t="str">
        <f t="shared" si="14"/>
        <v>該当なし</v>
      </c>
      <c r="C96" s="11" t="str">
        <f t="shared" si="15"/>
        <v>該当なし</v>
      </c>
      <c r="D96" s="12" t="str">
        <f t="shared" si="16"/>
        <v>該当なし</v>
      </c>
      <c r="E96" s="13" t="str">
        <f t="shared" si="17"/>
        <v>該当なし</v>
      </c>
      <c r="F96" s="14" t="str">
        <f t="shared" si="18"/>
        <v>該当なし</v>
      </c>
      <c r="G96" s="13" t="str">
        <f t="shared" si="19"/>
        <v>該当なし</v>
      </c>
      <c r="H96" s="14" t="str">
        <f t="shared" si="20"/>
        <v>該当なし</v>
      </c>
    </row>
    <row r="97" spans="1:8" ht="17">
      <c r="A97" s="11"/>
      <c r="B97" s="11" t="str">
        <f t="shared" si="14"/>
        <v>該当なし</v>
      </c>
      <c r="C97" s="11" t="str">
        <f t="shared" si="15"/>
        <v>該当なし</v>
      </c>
      <c r="D97" s="12" t="str">
        <f t="shared" si="16"/>
        <v>該当なし</v>
      </c>
      <c r="E97" s="13" t="str">
        <f t="shared" si="17"/>
        <v>該当なし</v>
      </c>
      <c r="F97" s="14" t="str">
        <f t="shared" si="18"/>
        <v>該当なし</v>
      </c>
      <c r="G97" s="13" t="str">
        <f t="shared" si="19"/>
        <v>該当なし</v>
      </c>
      <c r="H97" s="14" t="str">
        <f t="shared" si="20"/>
        <v>該当なし</v>
      </c>
    </row>
    <row r="98" spans="1:8" ht="17">
      <c r="A98" s="11"/>
      <c r="B98" s="11" t="str">
        <f t="shared" ref="B98:B129" si="21">IF(MID(A98,1,5)="80-50","DH26050758-50",IF(MID(A98,1,5)="84-12","CE26042384-12",IF(MID(A98,1,5)="84-50","DCH003484-50","該当なし")))</f>
        <v>該当なし</v>
      </c>
      <c r="C98" s="11" t="str">
        <f t="shared" ref="C98:C129" si="22">IF(MID(A98,6,2)="TE","Top Edge",IF(MID(A98,6,2)="BM","Bottom Middle",IF(MID(A98,6,2)="Ct","Center",IF(MID(A98,6,2)="LE","Left Edge",IF(MID(A98,6,2)="RE","Right Edge","該当なし")))))</f>
        <v>該当なし</v>
      </c>
      <c r="D98" s="12" t="str">
        <f t="shared" ref="D98:D129" si="23">IFERROR(MID(A98,8,2)*1,"該当なし")</f>
        <v>該当なし</v>
      </c>
      <c r="E98" s="13" t="str">
        <f t="shared" ref="E98:E129" si="24">IFERROR(IF(MID(A98,FIND("_",A98)+1,1)="h","ヒゲ",IF(MID(A98,FIND("_",A98)+1,1)="b","バリ","該当なし")),"該当なし")</f>
        <v>該当なし</v>
      </c>
      <c r="F98" s="14" t="str">
        <f t="shared" ref="F98:F129" si="25">IFERROR(MID(A98,FIND("_",A98)+2,FIND("um｜",A98)-FIND("_",A98)-2)*1,"該当なし")</f>
        <v>該当なし</v>
      </c>
      <c r="G98" s="13" t="str">
        <f t="shared" ref="G98:G129" si="26">IFERROR(IF(MID(A98,FIND("｜",A98)+1,1)="h","ヒゲ",IF(MID(A98,FIND("｜",A98)+1,1)="b","バリ","該当なし")),"該当なし")</f>
        <v>該当なし</v>
      </c>
      <c r="H98" s="14" t="str">
        <f t="shared" ref="H98:H129" si="27">IFERROR(MID(A98,FIND("｜",A98)+2,FIND("um.jpg",A98)-FIND("｜",A98)-2)*1,"該当なし")</f>
        <v>該当なし</v>
      </c>
    </row>
    <row r="99" spans="1:8" ht="17">
      <c r="A99" s="11"/>
      <c r="B99" s="11" t="str">
        <f t="shared" si="21"/>
        <v>該当なし</v>
      </c>
      <c r="C99" s="11" t="str">
        <f t="shared" si="22"/>
        <v>該当なし</v>
      </c>
      <c r="D99" s="12" t="str">
        <f t="shared" si="23"/>
        <v>該当なし</v>
      </c>
      <c r="E99" s="13" t="str">
        <f t="shared" si="24"/>
        <v>該当なし</v>
      </c>
      <c r="F99" s="14" t="str">
        <f t="shared" si="25"/>
        <v>該当なし</v>
      </c>
      <c r="G99" s="13" t="str">
        <f t="shared" si="26"/>
        <v>該当なし</v>
      </c>
      <c r="H99" s="14" t="str">
        <f t="shared" si="27"/>
        <v>該当なし</v>
      </c>
    </row>
    <row r="100" spans="1:8" ht="17">
      <c r="A100" s="11"/>
      <c r="B100" s="11" t="str">
        <f t="shared" si="21"/>
        <v>該当なし</v>
      </c>
      <c r="C100" s="11" t="str">
        <f t="shared" si="22"/>
        <v>該当なし</v>
      </c>
      <c r="D100" s="12" t="str">
        <f t="shared" si="23"/>
        <v>該当なし</v>
      </c>
      <c r="E100" s="13" t="str">
        <f t="shared" si="24"/>
        <v>該当なし</v>
      </c>
      <c r="F100" s="14" t="str">
        <f t="shared" si="25"/>
        <v>該当なし</v>
      </c>
      <c r="G100" s="13" t="str">
        <f t="shared" si="26"/>
        <v>該当なし</v>
      </c>
      <c r="H100" s="14" t="str">
        <f t="shared" si="27"/>
        <v>該当なし</v>
      </c>
    </row>
    <row r="101" spans="1:8" ht="17">
      <c r="A101" s="11"/>
      <c r="B101" s="11" t="str">
        <f t="shared" si="21"/>
        <v>該当なし</v>
      </c>
      <c r="C101" s="11" t="str">
        <f t="shared" si="22"/>
        <v>該当なし</v>
      </c>
      <c r="D101" s="12" t="str">
        <f t="shared" si="23"/>
        <v>該当なし</v>
      </c>
      <c r="E101" s="13" t="str">
        <f t="shared" si="24"/>
        <v>該当なし</v>
      </c>
      <c r="F101" s="14" t="str">
        <f t="shared" si="25"/>
        <v>該当なし</v>
      </c>
      <c r="G101" s="13" t="str">
        <f t="shared" si="26"/>
        <v>該当なし</v>
      </c>
      <c r="H101" s="14" t="str">
        <f t="shared" si="27"/>
        <v>該当なし</v>
      </c>
    </row>
    <row r="102" spans="1:8" ht="17">
      <c r="A102" s="11"/>
      <c r="B102" s="11" t="str">
        <f t="shared" si="21"/>
        <v>該当なし</v>
      </c>
      <c r="C102" s="11" t="str">
        <f t="shared" si="22"/>
        <v>該当なし</v>
      </c>
      <c r="D102" s="12" t="str">
        <f t="shared" si="23"/>
        <v>該当なし</v>
      </c>
      <c r="E102" s="13" t="str">
        <f t="shared" si="24"/>
        <v>該当なし</v>
      </c>
      <c r="F102" s="14" t="str">
        <f t="shared" si="25"/>
        <v>該当なし</v>
      </c>
      <c r="G102" s="13" t="str">
        <f t="shared" si="26"/>
        <v>該当なし</v>
      </c>
      <c r="H102" s="14" t="str">
        <f t="shared" si="27"/>
        <v>該当なし</v>
      </c>
    </row>
    <row r="103" spans="1:8" ht="17">
      <c r="A103" s="11"/>
      <c r="B103" s="11" t="str">
        <f t="shared" si="21"/>
        <v>該当なし</v>
      </c>
      <c r="C103" s="11" t="str">
        <f t="shared" si="22"/>
        <v>該当なし</v>
      </c>
      <c r="D103" s="12" t="str">
        <f t="shared" si="23"/>
        <v>該当なし</v>
      </c>
      <c r="E103" s="13" t="str">
        <f t="shared" si="24"/>
        <v>該当なし</v>
      </c>
      <c r="F103" s="14" t="str">
        <f t="shared" si="25"/>
        <v>該当なし</v>
      </c>
      <c r="G103" s="13" t="str">
        <f t="shared" si="26"/>
        <v>該当なし</v>
      </c>
      <c r="H103" s="14" t="str">
        <f t="shared" si="27"/>
        <v>該当なし</v>
      </c>
    </row>
    <row r="104" spans="1:8" ht="17">
      <c r="A104" s="11"/>
      <c r="B104" s="11" t="str">
        <f t="shared" si="21"/>
        <v>該当なし</v>
      </c>
      <c r="C104" s="11" t="str">
        <f t="shared" si="22"/>
        <v>該当なし</v>
      </c>
      <c r="D104" s="12" t="str">
        <f t="shared" si="23"/>
        <v>該当なし</v>
      </c>
      <c r="E104" s="13" t="str">
        <f t="shared" si="24"/>
        <v>該当なし</v>
      </c>
      <c r="F104" s="14" t="str">
        <f t="shared" si="25"/>
        <v>該当なし</v>
      </c>
      <c r="G104" s="13" t="str">
        <f t="shared" si="26"/>
        <v>該当なし</v>
      </c>
      <c r="H104" s="14" t="str">
        <f t="shared" si="27"/>
        <v>該当なし</v>
      </c>
    </row>
    <row r="105" spans="1:8" ht="17">
      <c r="A105" s="11"/>
      <c r="B105" s="11" t="str">
        <f t="shared" si="21"/>
        <v>該当なし</v>
      </c>
      <c r="C105" s="11" t="str">
        <f t="shared" si="22"/>
        <v>該当なし</v>
      </c>
      <c r="D105" s="12" t="str">
        <f t="shared" si="23"/>
        <v>該当なし</v>
      </c>
      <c r="E105" s="13" t="str">
        <f t="shared" si="24"/>
        <v>該当なし</v>
      </c>
      <c r="F105" s="14" t="str">
        <f t="shared" si="25"/>
        <v>該当なし</v>
      </c>
      <c r="G105" s="13" t="str">
        <f t="shared" si="26"/>
        <v>該当なし</v>
      </c>
      <c r="H105" s="14" t="str">
        <f t="shared" si="27"/>
        <v>該当なし</v>
      </c>
    </row>
    <row r="106" spans="1:8" ht="17">
      <c r="A106" s="11"/>
      <c r="B106" s="11" t="str">
        <f t="shared" si="21"/>
        <v>該当なし</v>
      </c>
      <c r="C106" s="11" t="str">
        <f t="shared" si="22"/>
        <v>該当なし</v>
      </c>
      <c r="D106" s="12" t="str">
        <f t="shared" si="23"/>
        <v>該当なし</v>
      </c>
      <c r="E106" s="13" t="str">
        <f t="shared" si="24"/>
        <v>該当なし</v>
      </c>
      <c r="F106" s="14" t="str">
        <f t="shared" si="25"/>
        <v>該当なし</v>
      </c>
      <c r="G106" s="13" t="str">
        <f t="shared" si="26"/>
        <v>該当なし</v>
      </c>
      <c r="H106" s="14" t="str">
        <f t="shared" si="27"/>
        <v>該当なし</v>
      </c>
    </row>
    <row r="107" spans="1:8" ht="17">
      <c r="A107" s="11"/>
      <c r="B107" s="11" t="str">
        <f t="shared" si="21"/>
        <v>該当なし</v>
      </c>
      <c r="C107" s="11" t="str">
        <f t="shared" si="22"/>
        <v>該当なし</v>
      </c>
      <c r="D107" s="12" t="str">
        <f t="shared" si="23"/>
        <v>該当なし</v>
      </c>
      <c r="E107" s="13" t="str">
        <f t="shared" si="24"/>
        <v>該当なし</v>
      </c>
      <c r="F107" s="14" t="str">
        <f t="shared" si="25"/>
        <v>該当なし</v>
      </c>
      <c r="G107" s="13" t="str">
        <f t="shared" si="26"/>
        <v>該当なし</v>
      </c>
      <c r="H107" s="14" t="str">
        <f t="shared" si="27"/>
        <v>該当なし</v>
      </c>
    </row>
    <row r="108" spans="1:8" ht="17">
      <c r="A108" s="11"/>
      <c r="B108" s="11" t="str">
        <f t="shared" si="21"/>
        <v>該当なし</v>
      </c>
      <c r="C108" s="11" t="str">
        <f t="shared" si="22"/>
        <v>該当なし</v>
      </c>
      <c r="D108" s="12" t="str">
        <f t="shared" si="23"/>
        <v>該当なし</v>
      </c>
      <c r="E108" s="13" t="str">
        <f t="shared" si="24"/>
        <v>該当なし</v>
      </c>
      <c r="F108" s="14" t="str">
        <f t="shared" si="25"/>
        <v>該当なし</v>
      </c>
      <c r="G108" s="13" t="str">
        <f t="shared" si="26"/>
        <v>該当なし</v>
      </c>
      <c r="H108" s="14" t="str">
        <f t="shared" si="27"/>
        <v>該当なし</v>
      </c>
    </row>
    <row r="109" spans="1:8" ht="17">
      <c r="A109" s="11"/>
      <c r="B109" s="11" t="str">
        <f t="shared" si="21"/>
        <v>該当なし</v>
      </c>
      <c r="C109" s="11" t="str">
        <f t="shared" si="22"/>
        <v>該当なし</v>
      </c>
      <c r="D109" s="12" t="str">
        <f t="shared" si="23"/>
        <v>該当なし</v>
      </c>
      <c r="E109" s="13" t="str">
        <f t="shared" si="24"/>
        <v>該当なし</v>
      </c>
      <c r="F109" s="14" t="str">
        <f t="shared" si="25"/>
        <v>該当なし</v>
      </c>
      <c r="G109" s="13" t="str">
        <f t="shared" si="26"/>
        <v>該当なし</v>
      </c>
      <c r="H109" s="14" t="str">
        <f t="shared" si="27"/>
        <v>該当なし</v>
      </c>
    </row>
    <row r="110" spans="1:8" ht="17">
      <c r="A110" s="11"/>
      <c r="B110" s="11" t="str">
        <f t="shared" si="21"/>
        <v>該当なし</v>
      </c>
      <c r="C110" s="11" t="str">
        <f t="shared" si="22"/>
        <v>該当なし</v>
      </c>
      <c r="D110" s="12" t="str">
        <f t="shared" si="23"/>
        <v>該当なし</v>
      </c>
      <c r="E110" s="13" t="str">
        <f t="shared" si="24"/>
        <v>該当なし</v>
      </c>
      <c r="F110" s="14" t="str">
        <f t="shared" si="25"/>
        <v>該当なし</v>
      </c>
      <c r="G110" s="13" t="str">
        <f t="shared" si="26"/>
        <v>該当なし</v>
      </c>
      <c r="H110" s="14" t="str">
        <f t="shared" si="27"/>
        <v>該当なし</v>
      </c>
    </row>
    <row r="111" spans="1:8" ht="17">
      <c r="A111" s="11"/>
      <c r="B111" s="11" t="str">
        <f t="shared" si="21"/>
        <v>該当なし</v>
      </c>
      <c r="C111" s="11" t="str">
        <f t="shared" si="22"/>
        <v>該当なし</v>
      </c>
      <c r="D111" s="12" t="str">
        <f t="shared" si="23"/>
        <v>該当なし</v>
      </c>
      <c r="E111" s="13" t="str">
        <f t="shared" si="24"/>
        <v>該当なし</v>
      </c>
      <c r="F111" s="14" t="str">
        <f t="shared" si="25"/>
        <v>該当なし</v>
      </c>
      <c r="G111" s="13" t="str">
        <f t="shared" si="26"/>
        <v>該当なし</v>
      </c>
      <c r="H111" s="14" t="str">
        <f t="shared" si="27"/>
        <v>該当なし</v>
      </c>
    </row>
    <row r="112" spans="1:8" ht="17">
      <c r="A112" s="11"/>
      <c r="B112" s="11" t="str">
        <f t="shared" si="21"/>
        <v>該当なし</v>
      </c>
      <c r="C112" s="11" t="str">
        <f t="shared" si="22"/>
        <v>該当なし</v>
      </c>
      <c r="D112" s="12" t="str">
        <f t="shared" si="23"/>
        <v>該当なし</v>
      </c>
      <c r="E112" s="13" t="str">
        <f t="shared" si="24"/>
        <v>該当なし</v>
      </c>
      <c r="F112" s="14" t="str">
        <f t="shared" si="25"/>
        <v>該当なし</v>
      </c>
      <c r="G112" s="13" t="str">
        <f t="shared" si="26"/>
        <v>該当なし</v>
      </c>
      <c r="H112" s="14" t="str">
        <f t="shared" si="27"/>
        <v>該当なし</v>
      </c>
    </row>
    <row r="113" spans="1:8" ht="17">
      <c r="A113" s="11"/>
      <c r="B113" s="11" t="str">
        <f t="shared" si="21"/>
        <v>該当なし</v>
      </c>
      <c r="C113" s="11" t="str">
        <f t="shared" si="22"/>
        <v>該当なし</v>
      </c>
      <c r="D113" s="12" t="str">
        <f t="shared" si="23"/>
        <v>該当なし</v>
      </c>
      <c r="E113" s="13" t="str">
        <f t="shared" si="24"/>
        <v>該当なし</v>
      </c>
      <c r="F113" s="14" t="str">
        <f t="shared" si="25"/>
        <v>該当なし</v>
      </c>
      <c r="G113" s="13" t="str">
        <f t="shared" si="26"/>
        <v>該当なし</v>
      </c>
      <c r="H113" s="14" t="str">
        <f t="shared" si="27"/>
        <v>該当なし</v>
      </c>
    </row>
    <row r="114" spans="1:8" ht="17">
      <c r="A114" s="11"/>
      <c r="B114" s="11" t="str">
        <f t="shared" si="21"/>
        <v>該当なし</v>
      </c>
      <c r="C114" s="11" t="str">
        <f t="shared" si="22"/>
        <v>該当なし</v>
      </c>
      <c r="D114" s="12" t="str">
        <f t="shared" si="23"/>
        <v>該当なし</v>
      </c>
      <c r="E114" s="13" t="str">
        <f t="shared" si="24"/>
        <v>該当なし</v>
      </c>
      <c r="F114" s="14" t="str">
        <f t="shared" si="25"/>
        <v>該当なし</v>
      </c>
      <c r="G114" s="13" t="str">
        <f t="shared" si="26"/>
        <v>該当なし</v>
      </c>
      <c r="H114" s="14" t="str">
        <f t="shared" si="27"/>
        <v>該当なし</v>
      </c>
    </row>
    <row r="115" spans="1:8" ht="17">
      <c r="A115" s="11"/>
      <c r="B115" s="11" t="str">
        <f t="shared" si="21"/>
        <v>該当なし</v>
      </c>
      <c r="C115" s="11" t="str">
        <f t="shared" si="22"/>
        <v>該当なし</v>
      </c>
      <c r="D115" s="12" t="str">
        <f t="shared" si="23"/>
        <v>該当なし</v>
      </c>
      <c r="E115" s="13" t="str">
        <f t="shared" si="24"/>
        <v>該当なし</v>
      </c>
      <c r="F115" s="14" t="str">
        <f t="shared" si="25"/>
        <v>該当なし</v>
      </c>
      <c r="G115" s="13" t="str">
        <f t="shared" si="26"/>
        <v>該当なし</v>
      </c>
      <c r="H115" s="14" t="str">
        <f t="shared" si="27"/>
        <v>該当なし</v>
      </c>
    </row>
    <row r="116" spans="1:8" ht="17">
      <c r="A116" s="11"/>
      <c r="B116" s="11" t="str">
        <f t="shared" si="21"/>
        <v>該当なし</v>
      </c>
      <c r="C116" s="11" t="str">
        <f t="shared" si="22"/>
        <v>該当なし</v>
      </c>
      <c r="D116" s="12" t="str">
        <f t="shared" si="23"/>
        <v>該当なし</v>
      </c>
      <c r="E116" s="13" t="str">
        <f t="shared" si="24"/>
        <v>該当なし</v>
      </c>
      <c r="F116" s="14" t="str">
        <f t="shared" si="25"/>
        <v>該当なし</v>
      </c>
      <c r="G116" s="13" t="str">
        <f t="shared" si="26"/>
        <v>該当なし</v>
      </c>
      <c r="H116" s="14" t="str">
        <f t="shared" si="27"/>
        <v>該当なし</v>
      </c>
    </row>
    <row r="117" spans="1:8" ht="17">
      <c r="A117" s="11"/>
      <c r="B117" s="11" t="str">
        <f t="shared" si="21"/>
        <v>該当なし</v>
      </c>
      <c r="C117" s="11" t="str">
        <f t="shared" si="22"/>
        <v>該当なし</v>
      </c>
      <c r="D117" s="12" t="str">
        <f t="shared" si="23"/>
        <v>該当なし</v>
      </c>
      <c r="E117" s="13" t="str">
        <f t="shared" si="24"/>
        <v>該当なし</v>
      </c>
      <c r="F117" s="14" t="str">
        <f t="shared" si="25"/>
        <v>該当なし</v>
      </c>
      <c r="G117" s="13" t="str">
        <f t="shared" si="26"/>
        <v>該当なし</v>
      </c>
      <c r="H117" s="14" t="str">
        <f t="shared" si="27"/>
        <v>該当なし</v>
      </c>
    </row>
    <row r="118" spans="1:8" ht="17">
      <c r="A118" s="11"/>
      <c r="B118" s="11" t="str">
        <f t="shared" si="21"/>
        <v>該当なし</v>
      </c>
      <c r="C118" s="11" t="str">
        <f t="shared" si="22"/>
        <v>該当なし</v>
      </c>
      <c r="D118" s="12" t="str">
        <f t="shared" si="23"/>
        <v>該当なし</v>
      </c>
      <c r="E118" s="13" t="str">
        <f t="shared" si="24"/>
        <v>該当なし</v>
      </c>
      <c r="F118" s="14" t="str">
        <f t="shared" si="25"/>
        <v>該当なし</v>
      </c>
      <c r="G118" s="13" t="str">
        <f t="shared" si="26"/>
        <v>該当なし</v>
      </c>
      <c r="H118" s="14" t="str">
        <f t="shared" si="27"/>
        <v>該当なし</v>
      </c>
    </row>
    <row r="119" spans="1:8" ht="17">
      <c r="A119" s="11"/>
      <c r="B119" s="11" t="str">
        <f t="shared" si="21"/>
        <v>該当なし</v>
      </c>
      <c r="C119" s="11" t="str">
        <f t="shared" si="22"/>
        <v>該当なし</v>
      </c>
      <c r="D119" s="12" t="str">
        <f t="shared" si="23"/>
        <v>該当なし</v>
      </c>
      <c r="E119" s="13" t="str">
        <f t="shared" si="24"/>
        <v>該当なし</v>
      </c>
      <c r="F119" s="14" t="str">
        <f t="shared" si="25"/>
        <v>該当なし</v>
      </c>
      <c r="G119" s="13" t="str">
        <f t="shared" si="26"/>
        <v>該当なし</v>
      </c>
      <c r="H119" s="14" t="str">
        <f t="shared" si="27"/>
        <v>該当なし</v>
      </c>
    </row>
    <row r="120" spans="1:8" ht="17">
      <c r="A120" s="11"/>
      <c r="B120" s="11" t="str">
        <f t="shared" si="21"/>
        <v>該当なし</v>
      </c>
      <c r="C120" s="11" t="str">
        <f t="shared" si="22"/>
        <v>該当なし</v>
      </c>
      <c r="D120" s="12" t="str">
        <f t="shared" si="23"/>
        <v>該当なし</v>
      </c>
      <c r="E120" s="13" t="str">
        <f t="shared" si="24"/>
        <v>該当なし</v>
      </c>
      <c r="F120" s="14" t="str">
        <f t="shared" si="25"/>
        <v>該当なし</v>
      </c>
      <c r="G120" s="13" t="str">
        <f t="shared" si="26"/>
        <v>該当なし</v>
      </c>
      <c r="H120" s="14" t="str">
        <f t="shared" si="27"/>
        <v>該当なし</v>
      </c>
    </row>
    <row r="121" spans="1:8" ht="17">
      <c r="A121" s="11"/>
      <c r="B121" s="11" t="str">
        <f t="shared" si="21"/>
        <v>該当なし</v>
      </c>
      <c r="C121" s="11" t="str">
        <f t="shared" si="22"/>
        <v>該当なし</v>
      </c>
      <c r="D121" s="12" t="str">
        <f t="shared" si="23"/>
        <v>該当なし</v>
      </c>
      <c r="E121" s="13" t="str">
        <f t="shared" si="24"/>
        <v>該当なし</v>
      </c>
      <c r="F121" s="14" t="str">
        <f t="shared" si="25"/>
        <v>該当なし</v>
      </c>
      <c r="G121" s="13" t="str">
        <f t="shared" si="26"/>
        <v>該当なし</v>
      </c>
      <c r="H121" s="14" t="str">
        <f t="shared" si="27"/>
        <v>該当なし</v>
      </c>
    </row>
    <row r="122" spans="1:8" ht="17">
      <c r="A122" s="11"/>
      <c r="B122" s="11" t="str">
        <f t="shared" si="21"/>
        <v>該当なし</v>
      </c>
      <c r="C122" s="11" t="str">
        <f t="shared" si="22"/>
        <v>該当なし</v>
      </c>
      <c r="D122" s="12" t="str">
        <f t="shared" si="23"/>
        <v>該当なし</v>
      </c>
      <c r="E122" s="13" t="str">
        <f t="shared" si="24"/>
        <v>該当なし</v>
      </c>
      <c r="F122" s="14" t="str">
        <f t="shared" si="25"/>
        <v>該当なし</v>
      </c>
      <c r="G122" s="13" t="str">
        <f t="shared" si="26"/>
        <v>該当なし</v>
      </c>
      <c r="H122" s="14" t="str">
        <f t="shared" si="27"/>
        <v>該当なし</v>
      </c>
    </row>
    <row r="123" spans="1:8" ht="17">
      <c r="A123" s="11"/>
      <c r="B123" s="11" t="str">
        <f t="shared" si="21"/>
        <v>該当なし</v>
      </c>
      <c r="C123" s="11" t="str">
        <f t="shared" si="22"/>
        <v>該当なし</v>
      </c>
      <c r="D123" s="12" t="str">
        <f t="shared" si="23"/>
        <v>該当なし</v>
      </c>
      <c r="E123" s="13" t="str">
        <f t="shared" si="24"/>
        <v>該当なし</v>
      </c>
      <c r="F123" s="14" t="str">
        <f t="shared" si="25"/>
        <v>該当なし</v>
      </c>
      <c r="G123" s="13" t="str">
        <f t="shared" si="26"/>
        <v>該当なし</v>
      </c>
      <c r="H123" s="14" t="str">
        <f t="shared" si="27"/>
        <v>該当なし</v>
      </c>
    </row>
    <row r="124" spans="1:8" ht="17">
      <c r="A124" s="11"/>
      <c r="B124" s="11" t="str">
        <f t="shared" si="21"/>
        <v>該当なし</v>
      </c>
      <c r="C124" s="11" t="str">
        <f t="shared" si="22"/>
        <v>該当なし</v>
      </c>
      <c r="D124" s="12" t="str">
        <f t="shared" si="23"/>
        <v>該当なし</v>
      </c>
      <c r="E124" s="13" t="str">
        <f t="shared" si="24"/>
        <v>該当なし</v>
      </c>
      <c r="F124" s="14" t="str">
        <f t="shared" si="25"/>
        <v>該当なし</v>
      </c>
      <c r="G124" s="13" t="str">
        <f t="shared" si="26"/>
        <v>該当なし</v>
      </c>
      <c r="H124" s="14" t="str">
        <f t="shared" si="27"/>
        <v>該当なし</v>
      </c>
    </row>
    <row r="125" spans="1:8" ht="17">
      <c r="A125" s="11"/>
      <c r="B125" s="11" t="str">
        <f t="shared" si="21"/>
        <v>該当なし</v>
      </c>
      <c r="C125" s="11" t="str">
        <f t="shared" si="22"/>
        <v>該当なし</v>
      </c>
      <c r="D125" s="12" t="str">
        <f t="shared" si="23"/>
        <v>該当なし</v>
      </c>
      <c r="E125" s="13" t="str">
        <f t="shared" si="24"/>
        <v>該当なし</v>
      </c>
      <c r="F125" s="14" t="str">
        <f t="shared" si="25"/>
        <v>該当なし</v>
      </c>
      <c r="G125" s="13" t="str">
        <f t="shared" si="26"/>
        <v>該当なし</v>
      </c>
      <c r="H125" s="14" t="str">
        <f t="shared" si="27"/>
        <v>該当なし</v>
      </c>
    </row>
    <row r="126" spans="1:8" ht="17">
      <c r="A126" s="11"/>
      <c r="B126" s="11" t="str">
        <f t="shared" si="21"/>
        <v>該当なし</v>
      </c>
      <c r="C126" s="11" t="str">
        <f t="shared" si="22"/>
        <v>該当なし</v>
      </c>
      <c r="D126" s="12" t="str">
        <f t="shared" si="23"/>
        <v>該当なし</v>
      </c>
      <c r="E126" s="13" t="str">
        <f t="shared" si="24"/>
        <v>該当なし</v>
      </c>
      <c r="F126" s="14" t="str">
        <f t="shared" si="25"/>
        <v>該当なし</v>
      </c>
      <c r="G126" s="13" t="str">
        <f t="shared" si="26"/>
        <v>該当なし</v>
      </c>
      <c r="H126" s="14" t="str">
        <f t="shared" si="27"/>
        <v>該当なし</v>
      </c>
    </row>
    <row r="127" spans="1:8" ht="17">
      <c r="A127" s="11"/>
      <c r="B127" s="11" t="str">
        <f t="shared" si="21"/>
        <v>該当なし</v>
      </c>
      <c r="C127" s="11" t="str">
        <f t="shared" si="22"/>
        <v>該当なし</v>
      </c>
      <c r="D127" s="12" t="str">
        <f t="shared" si="23"/>
        <v>該当なし</v>
      </c>
      <c r="E127" s="13" t="str">
        <f t="shared" si="24"/>
        <v>該当なし</v>
      </c>
      <c r="F127" s="14" t="str">
        <f t="shared" si="25"/>
        <v>該当なし</v>
      </c>
      <c r="G127" s="13" t="str">
        <f t="shared" si="26"/>
        <v>該当なし</v>
      </c>
      <c r="H127" s="14" t="str">
        <f t="shared" si="27"/>
        <v>該当なし</v>
      </c>
    </row>
    <row r="128" spans="1:8" ht="17">
      <c r="A128" s="11"/>
      <c r="B128" s="11" t="str">
        <f t="shared" si="21"/>
        <v>該当なし</v>
      </c>
      <c r="C128" s="11" t="str">
        <f t="shared" si="22"/>
        <v>該当なし</v>
      </c>
      <c r="D128" s="12" t="str">
        <f t="shared" si="23"/>
        <v>該当なし</v>
      </c>
      <c r="E128" s="13" t="str">
        <f t="shared" si="24"/>
        <v>該当なし</v>
      </c>
      <c r="F128" s="14" t="str">
        <f t="shared" si="25"/>
        <v>該当なし</v>
      </c>
      <c r="G128" s="13" t="str">
        <f t="shared" si="26"/>
        <v>該当なし</v>
      </c>
      <c r="H128" s="14" t="str">
        <f t="shared" si="27"/>
        <v>該当なし</v>
      </c>
    </row>
    <row r="129" spans="1:8" ht="17">
      <c r="A129" s="11"/>
      <c r="B129" s="11" t="str">
        <f t="shared" si="21"/>
        <v>該当なし</v>
      </c>
      <c r="C129" s="11" t="str">
        <f t="shared" si="22"/>
        <v>該当なし</v>
      </c>
      <c r="D129" s="12" t="str">
        <f t="shared" si="23"/>
        <v>該当なし</v>
      </c>
      <c r="E129" s="13" t="str">
        <f t="shared" si="24"/>
        <v>該当なし</v>
      </c>
      <c r="F129" s="14" t="str">
        <f t="shared" si="25"/>
        <v>該当なし</v>
      </c>
      <c r="G129" s="13" t="str">
        <f t="shared" si="26"/>
        <v>該当なし</v>
      </c>
      <c r="H129" s="14" t="str">
        <f t="shared" si="27"/>
        <v>該当なし</v>
      </c>
    </row>
    <row r="130" spans="1:8" ht="17">
      <c r="A130" s="11"/>
      <c r="B130" s="11" t="str">
        <f t="shared" ref="B130:B161" si="28">IF(MID(A130,1,5)="80-50","DH26050758-50",IF(MID(A130,1,5)="84-12","CE26042384-12",IF(MID(A130,1,5)="84-50","DCH003484-50","該当なし")))</f>
        <v>該当なし</v>
      </c>
      <c r="C130" s="11" t="str">
        <f t="shared" ref="C130:C161" si="29">IF(MID(A130,6,2)="TE","Top Edge",IF(MID(A130,6,2)="BM","Bottom Middle",IF(MID(A130,6,2)="Ct","Center",IF(MID(A130,6,2)="LE","Left Edge",IF(MID(A130,6,2)="RE","Right Edge","該当なし")))))</f>
        <v>該当なし</v>
      </c>
      <c r="D130" s="12" t="str">
        <f t="shared" ref="D130:D161" si="30">IFERROR(MID(A130,8,2)*1,"該当なし")</f>
        <v>該当なし</v>
      </c>
      <c r="E130" s="13" t="str">
        <f t="shared" ref="E130:E161" si="31">IFERROR(IF(MID(A130,FIND("_",A130)+1,1)="h","ヒゲ",IF(MID(A130,FIND("_",A130)+1,1)="b","バリ","該当なし")),"該当なし")</f>
        <v>該当なし</v>
      </c>
      <c r="F130" s="14" t="str">
        <f t="shared" ref="F130:F161" si="32">IFERROR(MID(A130,FIND("_",A130)+2,FIND("um｜",A130)-FIND("_",A130)-2)*1,"該当なし")</f>
        <v>該当なし</v>
      </c>
      <c r="G130" s="13" t="str">
        <f t="shared" ref="G130:G161" si="33">IFERROR(IF(MID(A130,FIND("｜",A130)+1,1)="h","ヒゲ",IF(MID(A130,FIND("｜",A130)+1,1)="b","バリ","該当なし")),"該当なし")</f>
        <v>該当なし</v>
      </c>
      <c r="H130" s="14" t="str">
        <f t="shared" ref="H130:H161" si="34">IFERROR(MID(A130,FIND("｜",A130)+2,FIND("um.jpg",A130)-FIND("｜",A130)-2)*1,"該当なし")</f>
        <v>該当なし</v>
      </c>
    </row>
    <row r="131" spans="1:8" ht="17">
      <c r="A131" s="11"/>
      <c r="B131" s="11" t="str">
        <f t="shared" si="28"/>
        <v>該当なし</v>
      </c>
      <c r="C131" s="11" t="str">
        <f t="shared" si="29"/>
        <v>該当なし</v>
      </c>
      <c r="D131" s="12" t="str">
        <f t="shared" si="30"/>
        <v>該当なし</v>
      </c>
      <c r="E131" s="13" t="str">
        <f t="shared" si="31"/>
        <v>該当なし</v>
      </c>
      <c r="F131" s="14" t="str">
        <f t="shared" si="32"/>
        <v>該当なし</v>
      </c>
      <c r="G131" s="13" t="str">
        <f t="shared" si="33"/>
        <v>該当なし</v>
      </c>
      <c r="H131" s="14" t="str">
        <f t="shared" si="34"/>
        <v>該当なし</v>
      </c>
    </row>
    <row r="132" spans="1:8" ht="17">
      <c r="A132" s="11"/>
      <c r="B132" s="11" t="str">
        <f t="shared" si="28"/>
        <v>該当なし</v>
      </c>
      <c r="C132" s="11" t="str">
        <f t="shared" si="29"/>
        <v>該当なし</v>
      </c>
      <c r="D132" s="12" t="str">
        <f t="shared" si="30"/>
        <v>該当なし</v>
      </c>
      <c r="E132" s="13" t="str">
        <f t="shared" si="31"/>
        <v>該当なし</v>
      </c>
      <c r="F132" s="14" t="str">
        <f t="shared" si="32"/>
        <v>該当なし</v>
      </c>
      <c r="G132" s="13" t="str">
        <f t="shared" si="33"/>
        <v>該当なし</v>
      </c>
      <c r="H132" s="14" t="str">
        <f t="shared" si="34"/>
        <v>該当なし</v>
      </c>
    </row>
    <row r="133" spans="1:8" ht="17">
      <c r="A133" s="11"/>
      <c r="B133" s="11" t="str">
        <f t="shared" si="28"/>
        <v>該当なし</v>
      </c>
      <c r="C133" s="11" t="str">
        <f t="shared" si="29"/>
        <v>該当なし</v>
      </c>
      <c r="D133" s="12" t="str">
        <f t="shared" si="30"/>
        <v>該当なし</v>
      </c>
      <c r="E133" s="13" t="str">
        <f t="shared" si="31"/>
        <v>該当なし</v>
      </c>
      <c r="F133" s="14" t="str">
        <f t="shared" si="32"/>
        <v>該当なし</v>
      </c>
      <c r="G133" s="13" t="str">
        <f t="shared" si="33"/>
        <v>該当なし</v>
      </c>
      <c r="H133" s="14" t="str">
        <f t="shared" si="34"/>
        <v>該当なし</v>
      </c>
    </row>
    <row r="134" spans="1:8" ht="17">
      <c r="A134" s="11"/>
      <c r="B134" s="11" t="str">
        <f t="shared" si="28"/>
        <v>該当なし</v>
      </c>
      <c r="C134" s="11" t="str">
        <f t="shared" si="29"/>
        <v>該当なし</v>
      </c>
      <c r="D134" s="12" t="str">
        <f t="shared" si="30"/>
        <v>該当なし</v>
      </c>
      <c r="E134" s="13" t="str">
        <f t="shared" si="31"/>
        <v>該当なし</v>
      </c>
      <c r="F134" s="14" t="str">
        <f t="shared" si="32"/>
        <v>該当なし</v>
      </c>
      <c r="G134" s="13" t="str">
        <f t="shared" si="33"/>
        <v>該当なし</v>
      </c>
      <c r="H134" s="14" t="str">
        <f t="shared" si="34"/>
        <v>該当なし</v>
      </c>
    </row>
    <row r="135" spans="1:8" ht="17">
      <c r="A135" s="11"/>
      <c r="B135" s="11" t="str">
        <f t="shared" si="28"/>
        <v>該当なし</v>
      </c>
      <c r="C135" s="11" t="str">
        <f t="shared" si="29"/>
        <v>該当なし</v>
      </c>
      <c r="D135" s="12" t="str">
        <f t="shared" si="30"/>
        <v>該当なし</v>
      </c>
      <c r="E135" s="13" t="str">
        <f t="shared" si="31"/>
        <v>該当なし</v>
      </c>
      <c r="F135" s="14" t="str">
        <f t="shared" si="32"/>
        <v>該当なし</v>
      </c>
      <c r="G135" s="13" t="str">
        <f t="shared" si="33"/>
        <v>該当なし</v>
      </c>
      <c r="H135" s="14" t="str">
        <f t="shared" si="34"/>
        <v>該当なし</v>
      </c>
    </row>
    <row r="136" spans="1:8" ht="17">
      <c r="A136" s="11"/>
      <c r="B136" s="11" t="str">
        <f t="shared" si="28"/>
        <v>該当なし</v>
      </c>
      <c r="C136" s="11" t="str">
        <f t="shared" si="29"/>
        <v>該当なし</v>
      </c>
      <c r="D136" s="12" t="str">
        <f t="shared" si="30"/>
        <v>該当なし</v>
      </c>
      <c r="E136" s="13" t="str">
        <f t="shared" si="31"/>
        <v>該当なし</v>
      </c>
      <c r="F136" s="14" t="str">
        <f t="shared" si="32"/>
        <v>該当なし</v>
      </c>
      <c r="G136" s="13" t="str">
        <f t="shared" si="33"/>
        <v>該当なし</v>
      </c>
      <c r="H136" s="14" t="str">
        <f t="shared" si="34"/>
        <v>該当なし</v>
      </c>
    </row>
    <row r="137" spans="1:8" ht="17">
      <c r="A137" s="11"/>
      <c r="B137" s="11" t="str">
        <f t="shared" si="28"/>
        <v>該当なし</v>
      </c>
      <c r="C137" s="11" t="str">
        <f t="shared" si="29"/>
        <v>該当なし</v>
      </c>
      <c r="D137" s="12" t="str">
        <f t="shared" si="30"/>
        <v>該当なし</v>
      </c>
      <c r="E137" s="13" t="str">
        <f t="shared" si="31"/>
        <v>該当なし</v>
      </c>
      <c r="F137" s="14" t="str">
        <f t="shared" si="32"/>
        <v>該当なし</v>
      </c>
      <c r="G137" s="13" t="str">
        <f t="shared" si="33"/>
        <v>該当なし</v>
      </c>
      <c r="H137" s="14" t="str">
        <f t="shared" si="34"/>
        <v>該当なし</v>
      </c>
    </row>
    <row r="138" spans="1:8" ht="17">
      <c r="A138" s="11"/>
      <c r="B138" s="11" t="str">
        <f t="shared" si="28"/>
        <v>該当なし</v>
      </c>
      <c r="C138" s="11" t="str">
        <f t="shared" si="29"/>
        <v>該当なし</v>
      </c>
      <c r="D138" s="12" t="str">
        <f t="shared" si="30"/>
        <v>該当なし</v>
      </c>
      <c r="E138" s="13" t="str">
        <f t="shared" si="31"/>
        <v>該当なし</v>
      </c>
      <c r="F138" s="14" t="str">
        <f t="shared" si="32"/>
        <v>該当なし</v>
      </c>
      <c r="G138" s="13" t="str">
        <f t="shared" si="33"/>
        <v>該当なし</v>
      </c>
      <c r="H138" s="14" t="str">
        <f t="shared" si="34"/>
        <v>該当なし</v>
      </c>
    </row>
    <row r="139" spans="1:8" ht="17">
      <c r="A139" s="11"/>
      <c r="B139" s="11" t="str">
        <f t="shared" si="28"/>
        <v>該当なし</v>
      </c>
      <c r="C139" s="11" t="str">
        <f t="shared" si="29"/>
        <v>該当なし</v>
      </c>
      <c r="D139" s="12" t="str">
        <f t="shared" si="30"/>
        <v>該当なし</v>
      </c>
      <c r="E139" s="13" t="str">
        <f t="shared" si="31"/>
        <v>該当なし</v>
      </c>
      <c r="F139" s="14" t="str">
        <f t="shared" si="32"/>
        <v>該当なし</v>
      </c>
      <c r="G139" s="13" t="str">
        <f t="shared" si="33"/>
        <v>該当なし</v>
      </c>
      <c r="H139" s="14" t="str">
        <f t="shared" si="34"/>
        <v>該当なし</v>
      </c>
    </row>
    <row r="140" spans="1:8" ht="17">
      <c r="A140" s="11"/>
      <c r="B140" s="11" t="str">
        <f t="shared" si="28"/>
        <v>該当なし</v>
      </c>
      <c r="C140" s="11" t="str">
        <f t="shared" si="29"/>
        <v>該当なし</v>
      </c>
      <c r="D140" s="12" t="str">
        <f t="shared" si="30"/>
        <v>該当なし</v>
      </c>
      <c r="E140" s="13" t="str">
        <f t="shared" si="31"/>
        <v>該当なし</v>
      </c>
      <c r="F140" s="14" t="str">
        <f t="shared" si="32"/>
        <v>該当なし</v>
      </c>
      <c r="G140" s="13" t="str">
        <f t="shared" si="33"/>
        <v>該当なし</v>
      </c>
      <c r="H140" s="14" t="str">
        <f t="shared" si="34"/>
        <v>該当なし</v>
      </c>
    </row>
    <row r="141" spans="1:8" ht="17">
      <c r="A141" s="11"/>
      <c r="B141" s="11" t="str">
        <f t="shared" si="28"/>
        <v>該当なし</v>
      </c>
      <c r="C141" s="11" t="str">
        <f t="shared" si="29"/>
        <v>該当なし</v>
      </c>
      <c r="D141" s="12" t="str">
        <f t="shared" si="30"/>
        <v>該当なし</v>
      </c>
      <c r="E141" s="13" t="str">
        <f t="shared" si="31"/>
        <v>該当なし</v>
      </c>
      <c r="F141" s="14" t="str">
        <f t="shared" si="32"/>
        <v>該当なし</v>
      </c>
      <c r="G141" s="13" t="str">
        <f t="shared" si="33"/>
        <v>該当なし</v>
      </c>
      <c r="H141" s="14" t="str">
        <f t="shared" si="34"/>
        <v>該当なし</v>
      </c>
    </row>
    <row r="142" spans="1:8" ht="17">
      <c r="A142" s="11"/>
      <c r="B142" s="11" t="str">
        <f t="shared" si="28"/>
        <v>該当なし</v>
      </c>
      <c r="C142" s="11" t="str">
        <f t="shared" si="29"/>
        <v>該当なし</v>
      </c>
      <c r="D142" s="12" t="str">
        <f t="shared" si="30"/>
        <v>該当なし</v>
      </c>
      <c r="E142" s="13" t="str">
        <f t="shared" si="31"/>
        <v>該当なし</v>
      </c>
      <c r="F142" s="14" t="str">
        <f t="shared" si="32"/>
        <v>該当なし</v>
      </c>
      <c r="G142" s="13" t="str">
        <f t="shared" si="33"/>
        <v>該当なし</v>
      </c>
      <c r="H142" s="14" t="str">
        <f t="shared" si="34"/>
        <v>該当なし</v>
      </c>
    </row>
    <row r="143" spans="1:8" ht="17">
      <c r="A143" s="11"/>
      <c r="B143" s="11" t="str">
        <f t="shared" si="28"/>
        <v>該当なし</v>
      </c>
      <c r="C143" s="11" t="str">
        <f t="shared" si="29"/>
        <v>該当なし</v>
      </c>
      <c r="D143" s="12" t="str">
        <f t="shared" si="30"/>
        <v>該当なし</v>
      </c>
      <c r="E143" s="13" t="str">
        <f t="shared" si="31"/>
        <v>該当なし</v>
      </c>
      <c r="F143" s="14" t="str">
        <f t="shared" si="32"/>
        <v>該当なし</v>
      </c>
      <c r="G143" s="13" t="str">
        <f t="shared" si="33"/>
        <v>該当なし</v>
      </c>
      <c r="H143" s="14" t="str">
        <f t="shared" si="34"/>
        <v>該当なし</v>
      </c>
    </row>
    <row r="144" spans="1:8" ht="17">
      <c r="A144" s="11"/>
      <c r="B144" s="11" t="str">
        <f t="shared" si="28"/>
        <v>該当なし</v>
      </c>
      <c r="C144" s="11" t="str">
        <f t="shared" si="29"/>
        <v>該当なし</v>
      </c>
      <c r="D144" s="12" t="str">
        <f t="shared" si="30"/>
        <v>該当なし</v>
      </c>
      <c r="E144" s="13" t="str">
        <f t="shared" si="31"/>
        <v>該当なし</v>
      </c>
      <c r="F144" s="14" t="str">
        <f t="shared" si="32"/>
        <v>該当なし</v>
      </c>
      <c r="G144" s="13" t="str">
        <f t="shared" si="33"/>
        <v>該当なし</v>
      </c>
      <c r="H144" s="14" t="str">
        <f t="shared" si="34"/>
        <v>該当なし</v>
      </c>
    </row>
    <row r="145" spans="1:8" ht="17">
      <c r="A145" s="11"/>
      <c r="B145" s="11" t="str">
        <f t="shared" si="28"/>
        <v>該当なし</v>
      </c>
      <c r="C145" s="11" t="str">
        <f t="shared" si="29"/>
        <v>該当なし</v>
      </c>
      <c r="D145" s="12" t="str">
        <f t="shared" si="30"/>
        <v>該当なし</v>
      </c>
      <c r="E145" s="13" t="str">
        <f t="shared" si="31"/>
        <v>該当なし</v>
      </c>
      <c r="F145" s="14" t="str">
        <f t="shared" si="32"/>
        <v>該当なし</v>
      </c>
      <c r="G145" s="13" t="str">
        <f t="shared" si="33"/>
        <v>該当なし</v>
      </c>
      <c r="H145" s="14" t="str">
        <f t="shared" si="34"/>
        <v>該当なし</v>
      </c>
    </row>
    <row r="146" spans="1:8" ht="17">
      <c r="A146" s="11"/>
      <c r="B146" s="11" t="str">
        <f t="shared" si="28"/>
        <v>該当なし</v>
      </c>
      <c r="C146" s="11" t="str">
        <f t="shared" si="29"/>
        <v>該当なし</v>
      </c>
      <c r="D146" s="12" t="str">
        <f t="shared" si="30"/>
        <v>該当なし</v>
      </c>
      <c r="E146" s="13" t="str">
        <f t="shared" si="31"/>
        <v>該当なし</v>
      </c>
      <c r="F146" s="14" t="str">
        <f t="shared" si="32"/>
        <v>該当なし</v>
      </c>
      <c r="G146" s="13" t="str">
        <f t="shared" si="33"/>
        <v>該当なし</v>
      </c>
      <c r="H146" s="14" t="str">
        <f t="shared" si="34"/>
        <v>該当なし</v>
      </c>
    </row>
    <row r="147" spans="1:8" ht="17">
      <c r="A147" s="11"/>
      <c r="B147" s="11" t="str">
        <f t="shared" si="28"/>
        <v>該当なし</v>
      </c>
      <c r="C147" s="11" t="str">
        <f t="shared" si="29"/>
        <v>該当なし</v>
      </c>
      <c r="D147" s="12" t="str">
        <f t="shared" si="30"/>
        <v>該当なし</v>
      </c>
      <c r="E147" s="13" t="str">
        <f t="shared" si="31"/>
        <v>該当なし</v>
      </c>
      <c r="F147" s="14" t="str">
        <f t="shared" si="32"/>
        <v>該当なし</v>
      </c>
      <c r="G147" s="13" t="str">
        <f t="shared" si="33"/>
        <v>該当なし</v>
      </c>
      <c r="H147" s="14" t="str">
        <f t="shared" si="34"/>
        <v>該当なし</v>
      </c>
    </row>
    <row r="148" spans="1:8" ht="17">
      <c r="A148" s="11"/>
      <c r="B148" s="11" t="str">
        <f t="shared" si="28"/>
        <v>該当なし</v>
      </c>
      <c r="C148" s="11" t="str">
        <f t="shared" si="29"/>
        <v>該当なし</v>
      </c>
      <c r="D148" s="12" t="str">
        <f t="shared" si="30"/>
        <v>該当なし</v>
      </c>
      <c r="E148" s="13" t="str">
        <f t="shared" si="31"/>
        <v>該当なし</v>
      </c>
      <c r="F148" s="14" t="str">
        <f t="shared" si="32"/>
        <v>該当なし</v>
      </c>
      <c r="G148" s="13" t="str">
        <f t="shared" si="33"/>
        <v>該当なし</v>
      </c>
      <c r="H148" s="14" t="str">
        <f t="shared" si="34"/>
        <v>該当なし</v>
      </c>
    </row>
    <row r="149" spans="1:8" ht="17">
      <c r="A149" s="11"/>
      <c r="B149" s="11" t="str">
        <f t="shared" si="28"/>
        <v>該当なし</v>
      </c>
      <c r="C149" s="11" t="str">
        <f t="shared" si="29"/>
        <v>該当なし</v>
      </c>
      <c r="D149" s="12" t="str">
        <f t="shared" si="30"/>
        <v>該当なし</v>
      </c>
      <c r="E149" s="13" t="str">
        <f t="shared" si="31"/>
        <v>該当なし</v>
      </c>
      <c r="F149" s="14" t="str">
        <f t="shared" si="32"/>
        <v>該当なし</v>
      </c>
      <c r="G149" s="13" t="str">
        <f t="shared" si="33"/>
        <v>該当なし</v>
      </c>
      <c r="H149" s="14" t="str">
        <f t="shared" si="34"/>
        <v>該当なし</v>
      </c>
    </row>
    <row r="150" spans="1:8" ht="17">
      <c r="A150" s="11"/>
      <c r="B150" s="11" t="str">
        <f t="shared" si="28"/>
        <v>該当なし</v>
      </c>
      <c r="C150" s="11" t="str">
        <f t="shared" si="29"/>
        <v>該当なし</v>
      </c>
      <c r="D150" s="12" t="str">
        <f t="shared" si="30"/>
        <v>該当なし</v>
      </c>
      <c r="E150" s="13" t="str">
        <f t="shared" si="31"/>
        <v>該当なし</v>
      </c>
      <c r="F150" s="14" t="str">
        <f t="shared" si="32"/>
        <v>該当なし</v>
      </c>
      <c r="G150" s="13" t="str">
        <f t="shared" si="33"/>
        <v>該当なし</v>
      </c>
      <c r="H150" s="14" t="str">
        <f t="shared" si="34"/>
        <v>該当なし</v>
      </c>
    </row>
    <row r="151" spans="1:8" ht="17">
      <c r="A151" s="11"/>
      <c r="B151" s="11" t="str">
        <f t="shared" si="28"/>
        <v>該当なし</v>
      </c>
      <c r="C151" s="11" t="str">
        <f t="shared" si="29"/>
        <v>該当なし</v>
      </c>
      <c r="D151" s="12" t="str">
        <f t="shared" si="30"/>
        <v>該当なし</v>
      </c>
      <c r="E151" s="13" t="str">
        <f t="shared" si="31"/>
        <v>該当なし</v>
      </c>
      <c r="F151" s="14" t="str">
        <f t="shared" si="32"/>
        <v>該当なし</v>
      </c>
      <c r="G151" s="13" t="str">
        <f t="shared" si="33"/>
        <v>該当なし</v>
      </c>
      <c r="H151" s="14" t="str">
        <f t="shared" si="34"/>
        <v>該当なし</v>
      </c>
    </row>
    <row r="152" spans="1:8" ht="17">
      <c r="A152" s="11"/>
      <c r="B152" s="11" t="str">
        <f t="shared" si="28"/>
        <v>該当なし</v>
      </c>
      <c r="C152" s="11" t="str">
        <f t="shared" si="29"/>
        <v>該当なし</v>
      </c>
      <c r="D152" s="12" t="str">
        <f t="shared" si="30"/>
        <v>該当なし</v>
      </c>
      <c r="E152" s="13" t="str">
        <f t="shared" si="31"/>
        <v>該当なし</v>
      </c>
      <c r="F152" s="14" t="str">
        <f t="shared" si="32"/>
        <v>該当なし</v>
      </c>
      <c r="G152" s="13" t="str">
        <f t="shared" si="33"/>
        <v>該当なし</v>
      </c>
      <c r="H152" s="14" t="str">
        <f t="shared" si="34"/>
        <v>該当なし</v>
      </c>
    </row>
    <row r="153" spans="1:8" ht="17">
      <c r="A153" s="11"/>
      <c r="B153" s="11" t="str">
        <f t="shared" si="28"/>
        <v>該当なし</v>
      </c>
      <c r="C153" s="11" t="str">
        <f t="shared" si="29"/>
        <v>該当なし</v>
      </c>
      <c r="D153" s="12" t="str">
        <f t="shared" si="30"/>
        <v>該当なし</v>
      </c>
      <c r="E153" s="13" t="str">
        <f t="shared" si="31"/>
        <v>該当なし</v>
      </c>
      <c r="F153" s="14" t="str">
        <f t="shared" si="32"/>
        <v>該当なし</v>
      </c>
      <c r="G153" s="13" t="str">
        <f t="shared" si="33"/>
        <v>該当なし</v>
      </c>
      <c r="H153" s="14" t="str">
        <f t="shared" si="34"/>
        <v>該当なし</v>
      </c>
    </row>
    <row r="154" spans="1:8" ht="17">
      <c r="A154" s="11"/>
      <c r="B154" s="11" t="str">
        <f t="shared" si="28"/>
        <v>該当なし</v>
      </c>
      <c r="C154" s="11" t="str">
        <f t="shared" si="29"/>
        <v>該当なし</v>
      </c>
      <c r="D154" s="12" t="str">
        <f t="shared" si="30"/>
        <v>該当なし</v>
      </c>
      <c r="E154" s="13" t="str">
        <f t="shared" si="31"/>
        <v>該当なし</v>
      </c>
      <c r="F154" s="14" t="str">
        <f t="shared" si="32"/>
        <v>該当なし</v>
      </c>
      <c r="G154" s="13" t="str">
        <f t="shared" si="33"/>
        <v>該当なし</v>
      </c>
      <c r="H154" s="14" t="str">
        <f t="shared" si="34"/>
        <v>該当なし</v>
      </c>
    </row>
    <row r="155" spans="1:8" ht="17">
      <c r="A155" s="11"/>
      <c r="B155" s="11" t="str">
        <f t="shared" si="28"/>
        <v>該当なし</v>
      </c>
      <c r="C155" s="11" t="str">
        <f t="shared" si="29"/>
        <v>該当なし</v>
      </c>
      <c r="D155" s="12" t="str">
        <f t="shared" si="30"/>
        <v>該当なし</v>
      </c>
      <c r="E155" s="13" t="str">
        <f t="shared" si="31"/>
        <v>該当なし</v>
      </c>
      <c r="F155" s="14" t="str">
        <f t="shared" si="32"/>
        <v>該当なし</v>
      </c>
      <c r="G155" s="13" t="str">
        <f t="shared" si="33"/>
        <v>該当なし</v>
      </c>
      <c r="H155" s="14" t="str">
        <f t="shared" si="34"/>
        <v>該当なし</v>
      </c>
    </row>
    <row r="156" spans="1:8" ht="17">
      <c r="A156" s="11"/>
      <c r="B156" s="11" t="str">
        <f t="shared" si="28"/>
        <v>該当なし</v>
      </c>
      <c r="C156" s="11" t="str">
        <f t="shared" si="29"/>
        <v>該当なし</v>
      </c>
      <c r="D156" s="12" t="str">
        <f t="shared" si="30"/>
        <v>該当なし</v>
      </c>
      <c r="E156" s="13" t="str">
        <f t="shared" si="31"/>
        <v>該当なし</v>
      </c>
      <c r="F156" s="14" t="str">
        <f t="shared" si="32"/>
        <v>該当なし</v>
      </c>
      <c r="G156" s="13" t="str">
        <f t="shared" si="33"/>
        <v>該当なし</v>
      </c>
      <c r="H156" s="14" t="str">
        <f t="shared" si="34"/>
        <v>該当なし</v>
      </c>
    </row>
    <row r="157" spans="1:8" ht="17">
      <c r="A157" s="11"/>
      <c r="B157" s="11" t="str">
        <f t="shared" si="28"/>
        <v>該当なし</v>
      </c>
      <c r="C157" s="11" t="str">
        <f t="shared" si="29"/>
        <v>該当なし</v>
      </c>
      <c r="D157" s="12" t="str">
        <f t="shared" si="30"/>
        <v>該当なし</v>
      </c>
      <c r="E157" s="13" t="str">
        <f t="shared" si="31"/>
        <v>該当なし</v>
      </c>
      <c r="F157" s="14" t="str">
        <f t="shared" si="32"/>
        <v>該当なし</v>
      </c>
      <c r="G157" s="13" t="str">
        <f t="shared" si="33"/>
        <v>該当なし</v>
      </c>
      <c r="H157" s="14" t="str">
        <f t="shared" si="34"/>
        <v>該当なし</v>
      </c>
    </row>
    <row r="158" spans="1:8" ht="17">
      <c r="A158" s="11"/>
      <c r="B158" s="11" t="str">
        <f t="shared" si="28"/>
        <v>該当なし</v>
      </c>
      <c r="C158" s="11" t="str">
        <f t="shared" si="29"/>
        <v>該当なし</v>
      </c>
      <c r="D158" s="12" t="str">
        <f t="shared" si="30"/>
        <v>該当なし</v>
      </c>
      <c r="E158" s="13" t="str">
        <f t="shared" si="31"/>
        <v>該当なし</v>
      </c>
      <c r="F158" s="14" t="str">
        <f t="shared" si="32"/>
        <v>該当なし</v>
      </c>
      <c r="G158" s="13" t="str">
        <f t="shared" si="33"/>
        <v>該当なし</v>
      </c>
      <c r="H158" s="14" t="str">
        <f t="shared" si="34"/>
        <v>該当なし</v>
      </c>
    </row>
    <row r="159" spans="1:8" ht="17">
      <c r="A159" s="11"/>
      <c r="B159" s="11" t="str">
        <f t="shared" si="28"/>
        <v>該当なし</v>
      </c>
      <c r="C159" s="11" t="str">
        <f t="shared" si="29"/>
        <v>該当なし</v>
      </c>
      <c r="D159" s="12" t="str">
        <f t="shared" si="30"/>
        <v>該当なし</v>
      </c>
      <c r="E159" s="13" t="str">
        <f t="shared" si="31"/>
        <v>該当なし</v>
      </c>
      <c r="F159" s="14" t="str">
        <f t="shared" si="32"/>
        <v>該当なし</v>
      </c>
      <c r="G159" s="13" t="str">
        <f t="shared" si="33"/>
        <v>該当なし</v>
      </c>
      <c r="H159" s="14" t="str">
        <f t="shared" si="34"/>
        <v>該当なし</v>
      </c>
    </row>
    <row r="160" spans="1:8" ht="17">
      <c r="A160" s="11"/>
      <c r="B160" s="11" t="str">
        <f t="shared" si="28"/>
        <v>該当なし</v>
      </c>
      <c r="C160" s="11" t="str">
        <f t="shared" si="29"/>
        <v>該当なし</v>
      </c>
      <c r="D160" s="12" t="str">
        <f t="shared" si="30"/>
        <v>該当なし</v>
      </c>
      <c r="E160" s="13" t="str">
        <f t="shared" si="31"/>
        <v>該当なし</v>
      </c>
      <c r="F160" s="14" t="str">
        <f t="shared" si="32"/>
        <v>該当なし</v>
      </c>
      <c r="G160" s="13" t="str">
        <f t="shared" si="33"/>
        <v>該当なし</v>
      </c>
      <c r="H160" s="14" t="str">
        <f t="shared" si="34"/>
        <v>該当なし</v>
      </c>
    </row>
    <row r="161" spans="1:8" ht="17">
      <c r="A161" s="11"/>
      <c r="B161" s="11" t="str">
        <f t="shared" si="28"/>
        <v>該当なし</v>
      </c>
      <c r="C161" s="11" t="str">
        <f t="shared" si="29"/>
        <v>該当なし</v>
      </c>
      <c r="D161" s="12" t="str">
        <f t="shared" si="30"/>
        <v>該当なし</v>
      </c>
      <c r="E161" s="13" t="str">
        <f t="shared" si="31"/>
        <v>該当なし</v>
      </c>
      <c r="F161" s="14" t="str">
        <f t="shared" si="32"/>
        <v>該当なし</v>
      </c>
      <c r="G161" s="13" t="str">
        <f t="shared" si="33"/>
        <v>該当なし</v>
      </c>
      <c r="H161" s="14" t="str">
        <f t="shared" si="34"/>
        <v>該当なし</v>
      </c>
    </row>
    <row r="162" spans="1:8" ht="17">
      <c r="A162" s="11"/>
      <c r="B162" s="11" t="str">
        <f t="shared" ref="B162:B193" si="35">IF(MID(A162,1,5)="80-50","DH26050758-50",IF(MID(A162,1,5)="84-12","CE26042384-12",IF(MID(A162,1,5)="84-50","DCH003484-50","該当なし")))</f>
        <v>該当なし</v>
      </c>
      <c r="C162" s="11" t="str">
        <f t="shared" ref="C162:C193" si="36">IF(MID(A162,6,2)="TE","Top Edge",IF(MID(A162,6,2)="BM","Bottom Middle",IF(MID(A162,6,2)="Ct","Center",IF(MID(A162,6,2)="LE","Left Edge",IF(MID(A162,6,2)="RE","Right Edge","該当なし")))))</f>
        <v>該当なし</v>
      </c>
      <c r="D162" s="12" t="str">
        <f t="shared" ref="D162:D193" si="37">IFERROR(MID(A162,8,2)*1,"該当なし")</f>
        <v>該当なし</v>
      </c>
      <c r="E162" s="13" t="str">
        <f t="shared" ref="E162:E193" si="38">IFERROR(IF(MID(A162,FIND("_",A162)+1,1)="h","ヒゲ",IF(MID(A162,FIND("_",A162)+1,1)="b","バリ","該当なし")),"該当なし")</f>
        <v>該当なし</v>
      </c>
      <c r="F162" s="14" t="str">
        <f t="shared" ref="F162:F193" si="39">IFERROR(MID(A162,FIND("_",A162)+2,FIND("um｜",A162)-FIND("_",A162)-2)*1,"該当なし")</f>
        <v>該当なし</v>
      </c>
      <c r="G162" s="13" t="str">
        <f t="shared" ref="G162:G193" si="40">IFERROR(IF(MID(A162,FIND("｜",A162)+1,1)="h","ヒゲ",IF(MID(A162,FIND("｜",A162)+1,1)="b","バリ","該当なし")),"該当なし")</f>
        <v>該当なし</v>
      </c>
      <c r="H162" s="14" t="str">
        <f t="shared" ref="H162:H193" si="41">IFERROR(MID(A162,FIND("｜",A162)+2,FIND("um.jpg",A162)-FIND("｜",A162)-2)*1,"該当なし")</f>
        <v>該当なし</v>
      </c>
    </row>
    <row r="163" spans="1:8" ht="17">
      <c r="A163" s="11"/>
      <c r="B163" s="11" t="str">
        <f t="shared" si="35"/>
        <v>該当なし</v>
      </c>
      <c r="C163" s="11" t="str">
        <f t="shared" si="36"/>
        <v>該当なし</v>
      </c>
      <c r="D163" s="12" t="str">
        <f t="shared" si="37"/>
        <v>該当なし</v>
      </c>
      <c r="E163" s="13" t="str">
        <f t="shared" si="38"/>
        <v>該当なし</v>
      </c>
      <c r="F163" s="14" t="str">
        <f t="shared" si="39"/>
        <v>該当なし</v>
      </c>
      <c r="G163" s="13" t="str">
        <f t="shared" si="40"/>
        <v>該当なし</v>
      </c>
      <c r="H163" s="14" t="str">
        <f t="shared" si="41"/>
        <v>該当なし</v>
      </c>
    </row>
    <row r="164" spans="1:8" ht="17">
      <c r="A164" s="11"/>
      <c r="B164" s="11" t="str">
        <f t="shared" si="35"/>
        <v>該当なし</v>
      </c>
      <c r="C164" s="11" t="str">
        <f t="shared" si="36"/>
        <v>該当なし</v>
      </c>
      <c r="D164" s="12" t="str">
        <f t="shared" si="37"/>
        <v>該当なし</v>
      </c>
      <c r="E164" s="13" t="str">
        <f t="shared" si="38"/>
        <v>該当なし</v>
      </c>
      <c r="F164" s="14" t="str">
        <f t="shared" si="39"/>
        <v>該当なし</v>
      </c>
      <c r="G164" s="13" t="str">
        <f t="shared" si="40"/>
        <v>該当なし</v>
      </c>
      <c r="H164" s="14" t="str">
        <f t="shared" si="41"/>
        <v>該当なし</v>
      </c>
    </row>
    <row r="165" spans="1:8" ht="17">
      <c r="A165" s="11"/>
      <c r="B165" s="11" t="str">
        <f t="shared" si="35"/>
        <v>該当なし</v>
      </c>
      <c r="C165" s="11" t="str">
        <f t="shared" si="36"/>
        <v>該当なし</v>
      </c>
      <c r="D165" s="12" t="str">
        <f t="shared" si="37"/>
        <v>該当なし</v>
      </c>
      <c r="E165" s="13" t="str">
        <f t="shared" si="38"/>
        <v>該当なし</v>
      </c>
      <c r="F165" s="14" t="str">
        <f t="shared" si="39"/>
        <v>該当なし</v>
      </c>
      <c r="G165" s="13" t="str">
        <f t="shared" si="40"/>
        <v>該当なし</v>
      </c>
      <c r="H165" s="14" t="str">
        <f t="shared" si="41"/>
        <v>該当なし</v>
      </c>
    </row>
    <row r="166" spans="1:8" ht="17">
      <c r="A166" s="11"/>
      <c r="B166" s="11" t="str">
        <f t="shared" si="35"/>
        <v>該当なし</v>
      </c>
      <c r="C166" s="11" t="str">
        <f t="shared" si="36"/>
        <v>該当なし</v>
      </c>
      <c r="D166" s="12" t="str">
        <f t="shared" si="37"/>
        <v>該当なし</v>
      </c>
      <c r="E166" s="13" t="str">
        <f t="shared" si="38"/>
        <v>該当なし</v>
      </c>
      <c r="F166" s="14" t="str">
        <f t="shared" si="39"/>
        <v>該当なし</v>
      </c>
      <c r="G166" s="13" t="str">
        <f t="shared" si="40"/>
        <v>該当なし</v>
      </c>
      <c r="H166" s="14" t="str">
        <f t="shared" si="41"/>
        <v>該当なし</v>
      </c>
    </row>
    <row r="167" spans="1:8" ht="17">
      <c r="A167" s="11"/>
      <c r="B167" s="11" t="str">
        <f t="shared" si="35"/>
        <v>該当なし</v>
      </c>
      <c r="C167" s="11" t="str">
        <f t="shared" si="36"/>
        <v>該当なし</v>
      </c>
      <c r="D167" s="12" t="str">
        <f t="shared" si="37"/>
        <v>該当なし</v>
      </c>
      <c r="E167" s="13" t="str">
        <f t="shared" si="38"/>
        <v>該当なし</v>
      </c>
      <c r="F167" s="14" t="str">
        <f t="shared" si="39"/>
        <v>該当なし</v>
      </c>
      <c r="G167" s="13" t="str">
        <f t="shared" si="40"/>
        <v>該当なし</v>
      </c>
      <c r="H167" s="14" t="str">
        <f t="shared" si="41"/>
        <v>該当なし</v>
      </c>
    </row>
    <row r="168" spans="1:8" ht="17">
      <c r="A168" s="11"/>
      <c r="B168" s="11" t="str">
        <f t="shared" si="35"/>
        <v>該当なし</v>
      </c>
      <c r="C168" s="11" t="str">
        <f t="shared" si="36"/>
        <v>該当なし</v>
      </c>
      <c r="D168" s="12" t="str">
        <f t="shared" si="37"/>
        <v>該当なし</v>
      </c>
      <c r="E168" s="13" t="str">
        <f t="shared" si="38"/>
        <v>該当なし</v>
      </c>
      <c r="F168" s="14" t="str">
        <f t="shared" si="39"/>
        <v>該当なし</v>
      </c>
      <c r="G168" s="13" t="str">
        <f t="shared" si="40"/>
        <v>該当なし</v>
      </c>
      <c r="H168" s="14" t="str">
        <f t="shared" si="41"/>
        <v>該当なし</v>
      </c>
    </row>
    <row r="169" spans="1:8" ht="17">
      <c r="A169" s="11"/>
      <c r="B169" s="11" t="str">
        <f t="shared" si="35"/>
        <v>該当なし</v>
      </c>
      <c r="C169" s="11" t="str">
        <f t="shared" si="36"/>
        <v>該当なし</v>
      </c>
      <c r="D169" s="12" t="str">
        <f t="shared" si="37"/>
        <v>該当なし</v>
      </c>
      <c r="E169" s="13" t="str">
        <f t="shared" si="38"/>
        <v>該当なし</v>
      </c>
      <c r="F169" s="14" t="str">
        <f t="shared" si="39"/>
        <v>該当なし</v>
      </c>
      <c r="G169" s="13" t="str">
        <f t="shared" si="40"/>
        <v>該当なし</v>
      </c>
      <c r="H169" s="14" t="str">
        <f t="shared" si="41"/>
        <v>該当なし</v>
      </c>
    </row>
    <row r="170" spans="1:8" ht="17">
      <c r="A170" s="11"/>
      <c r="B170" s="11" t="str">
        <f t="shared" si="35"/>
        <v>該当なし</v>
      </c>
      <c r="C170" s="11" t="str">
        <f t="shared" si="36"/>
        <v>該当なし</v>
      </c>
      <c r="D170" s="12" t="str">
        <f t="shared" si="37"/>
        <v>該当なし</v>
      </c>
      <c r="E170" s="13" t="str">
        <f t="shared" si="38"/>
        <v>該当なし</v>
      </c>
      <c r="F170" s="14" t="str">
        <f t="shared" si="39"/>
        <v>該当なし</v>
      </c>
      <c r="G170" s="13" t="str">
        <f t="shared" si="40"/>
        <v>該当なし</v>
      </c>
      <c r="H170" s="14" t="str">
        <f t="shared" si="41"/>
        <v>該当なし</v>
      </c>
    </row>
    <row r="171" spans="1:8" ht="17">
      <c r="A171" s="11"/>
      <c r="B171" s="11" t="str">
        <f t="shared" si="35"/>
        <v>該当なし</v>
      </c>
      <c r="C171" s="11" t="str">
        <f t="shared" si="36"/>
        <v>該当なし</v>
      </c>
      <c r="D171" s="12" t="str">
        <f t="shared" si="37"/>
        <v>該当なし</v>
      </c>
      <c r="E171" s="13" t="str">
        <f t="shared" si="38"/>
        <v>該当なし</v>
      </c>
      <c r="F171" s="14" t="str">
        <f t="shared" si="39"/>
        <v>該当なし</v>
      </c>
      <c r="G171" s="13" t="str">
        <f t="shared" si="40"/>
        <v>該当なし</v>
      </c>
      <c r="H171" s="14" t="str">
        <f t="shared" si="41"/>
        <v>該当なし</v>
      </c>
    </row>
    <row r="172" spans="1:8" ht="17">
      <c r="A172" s="11"/>
      <c r="B172" s="11" t="str">
        <f t="shared" si="35"/>
        <v>該当なし</v>
      </c>
      <c r="C172" s="11" t="str">
        <f t="shared" si="36"/>
        <v>該当なし</v>
      </c>
      <c r="D172" s="12" t="str">
        <f t="shared" si="37"/>
        <v>該当なし</v>
      </c>
      <c r="E172" s="13" t="str">
        <f t="shared" si="38"/>
        <v>該当なし</v>
      </c>
      <c r="F172" s="14" t="str">
        <f t="shared" si="39"/>
        <v>該当なし</v>
      </c>
      <c r="G172" s="13" t="str">
        <f t="shared" si="40"/>
        <v>該当なし</v>
      </c>
      <c r="H172" s="14" t="str">
        <f t="shared" si="41"/>
        <v>該当なし</v>
      </c>
    </row>
    <row r="173" spans="1:8" ht="17">
      <c r="A173" s="11"/>
      <c r="B173" s="11" t="str">
        <f t="shared" si="35"/>
        <v>該当なし</v>
      </c>
      <c r="C173" s="11" t="str">
        <f t="shared" si="36"/>
        <v>該当なし</v>
      </c>
      <c r="D173" s="12" t="str">
        <f t="shared" si="37"/>
        <v>該当なし</v>
      </c>
      <c r="E173" s="13" t="str">
        <f t="shared" si="38"/>
        <v>該当なし</v>
      </c>
      <c r="F173" s="14" t="str">
        <f t="shared" si="39"/>
        <v>該当なし</v>
      </c>
      <c r="G173" s="13" t="str">
        <f t="shared" si="40"/>
        <v>該当なし</v>
      </c>
      <c r="H173" s="14" t="str">
        <f t="shared" si="41"/>
        <v>該当なし</v>
      </c>
    </row>
    <row r="174" spans="1:8" ht="17">
      <c r="A174" s="11"/>
      <c r="B174" s="11" t="str">
        <f t="shared" si="35"/>
        <v>該当なし</v>
      </c>
      <c r="C174" s="11" t="str">
        <f t="shared" si="36"/>
        <v>該当なし</v>
      </c>
      <c r="D174" s="12" t="str">
        <f t="shared" si="37"/>
        <v>該当なし</v>
      </c>
      <c r="E174" s="13" t="str">
        <f t="shared" si="38"/>
        <v>該当なし</v>
      </c>
      <c r="F174" s="14" t="str">
        <f t="shared" si="39"/>
        <v>該当なし</v>
      </c>
      <c r="G174" s="13" t="str">
        <f t="shared" si="40"/>
        <v>該当なし</v>
      </c>
      <c r="H174" s="14" t="str">
        <f t="shared" si="41"/>
        <v>該当なし</v>
      </c>
    </row>
    <row r="175" spans="1:8" ht="17">
      <c r="A175" s="11"/>
      <c r="B175" s="11" t="str">
        <f t="shared" si="35"/>
        <v>該当なし</v>
      </c>
      <c r="C175" s="11" t="str">
        <f t="shared" si="36"/>
        <v>該当なし</v>
      </c>
      <c r="D175" s="12" t="str">
        <f t="shared" si="37"/>
        <v>該当なし</v>
      </c>
      <c r="E175" s="13" t="str">
        <f t="shared" si="38"/>
        <v>該当なし</v>
      </c>
      <c r="F175" s="14" t="str">
        <f t="shared" si="39"/>
        <v>該当なし</v>
      </c>
      <c r="G175" s="13" t="str">
        <f t="shared" si="40"/>
        <v>該当なし</v>
      </c>
      <c r="H175" s="14" t="str">
        <f t="shared" si="41"/>
        <v>該当なし</v>
      </c>
    </row>
    <row r="176" spans="1:8" ht="17">
      <c r="A176" s="11"/>
      <c r="B176" s="11" t="str">
        <f t="shared" si="35"/>
        <v>該当なし</v>
      </c>
      <c r="C176" s="11" t="str">
        <f t="shared" si="36"/>
        <v>該当なし</v>
      </c>
      <c r="D176" s="12" t="str">
        <f t="shared" si="37"/>
        <v>該当なし</v>
      </c>
      <c r="E176" s="13" t="str">
        <f t="shared" si="38"/>
        <v>該当なし</v>
      </c>
      <c r="F176" s="14" t="str">
        <f t="shared" si="39"/>
        <v>該当なし</v>
      </c>
      <c r="G176" s="13" t="str">
        <f t="shared" si="40"/>
        <v>該当なし</v>
      </c>
      <c r="H176" s="14" t="str">
        <f t="shared" si="41"/>
        <v>該当なし</v>
      </c>
    </row>
    <row r="177" spans="1:8" ht="17">
      <c r="A177" s="11"/>
      <c r="B177" s="11" t="str">
        <f t="shared" si="35"/>
        <v>該当なし</v>
      </c>
      <c r="C177" s="11" t="str">
        <f t="shared" si="36"/>
        <v>該当なし</v>
      </c>
      <c r="D177" s="12" t="str">
        <f t="shared" si="37"/>
        <v>該当なし</v>
      </c>
      <c r="E177" s="13" t="str">
        <f t="shared" si="38"/>
        <v>該当なし</v>
      </c>
      <c r="F177" s="14" t="str">
        <f t="shared" si="39"/>
        <v>該当なし</v>
      </c>
      <c r="G177" s="13" t="str">
        <f t="shared" si="40"/>
        <v>該当なし</v>
      </c>
      <c r="H177" s="14" t="str">
        <f t="shared" si="41"/>
        <v>該当なし</v>
      </c>
    </row>
    <row r="178" spans="1:8" ht="17">
      <c r="A178" s="11"/>
      <c r="B178" s="11" t="str">
        <f t="shared" si="35"/>
        <v>該当なし</v>
      </c>
      <c r="C178" s="11" t="str">
        <f t="shared" si="36"/>
        <v>該当なし</v>
      </c>
      <c r="D178" s="12" t="str">
        <f t="shared" si="37"/>
        <v>該当なし</v>
      </c>
      <c r="E178" s="13" t="str">
        <f t="shared" si="38"/>
        <v>該当なし</v>
      </c>
      <c r="F178" s="14" t="str">
        <f t="shared" si="39"/>
        <v>該当なし</v>
      </c>
      <c r="G178" s="13" t="str">
        <f t="shared" si="40"/>
        <v>該当なし</v>
      </c>
      <c r="H178" s="14" t="str">
        <f t="shared" si="41"/>
        <v>該当なし</v>
      </c>
    </row>
    <row r="179" spans="1:8" ht="17">
      <c r="A179" s="11"/>
      <c r="B179" s="11" t="str">
        <f t="shared" si="35"/>
        <v>該当なし</v>
      </c>
      <c r="C179" s="11" t="str">
        <f t="shared" si="36"/>
        <v>該当なし</v>
      </c>
      <c r="D179" s="12" t="str">
        <f t="shared" si="37"/>
        <v>該当なし</v>
      </c>
      <c r="E179" s="13" t="str">
        <f t="shared" si="38"/>
        <v>該当なし</v>
      </c>
      <c r="F179" s="14" t="str">
        <f t="shared" si="39"/>
        <v>該当なし</v>
      </c>
      <c r="G179" s="13" t="str">
        <f t="shared" si="40"/>
        <v>該当なし</v>
      </c>
      <c r="H179" s="14" t="str">
        <f t="shared" si="41"/>
        <v>該当なし</v>
      </c>
    </row>
    <row r="180" spans="1:8" ht="17">
      <c r="A180" s="11"/>
      <c r="B180" s="11" t="str">
        <f t="shared" si="35"/>
        <v>該当なし</v>
      </c>
      <c r="C180" s="11" t="str">
        <f t="shared" si="36"/>
        <v>該当なし</v>
      </c>
      <c r="D180" s="12" t="str">
        <f t="shared" si="37"/>
        <v>該当なし</v>
      </c>
      <c r="E180" s="13" t="str">
        <f t="shared" si="38"/>
        <v>該当なし</v>
      </c>
      <c r="F180" s="14" t="str">
        <f t="shared" si="39"/>
        <v>該当なし</v>
      </c>
      <c r="G180" s="13" t="str">
        <f t="shared" si="40"/>
        <v>該当なし</v>
      </c>
      <c r="H180" s="14" t="str">
        <f t="shared" si="41"/>
        <v>該当なし</v>
      </c>
    </row>
    <row r="181" spans="1:8" ht="17">
      <c r="A181" s="11"/>
      <c r="B181" s="11" t="str">
        <f t="shared" si="35"/>
        <v>該当なし</v>
      </c>
      <c r="C181" s="11" t="str">
        <f t="shared" si="36"/>
        <v>該当なし</v>
      </c>
      <c r="D181" s="12" t="str">
        <f t="shared" si="37"/>
        <v>該当なし</v>
      </c>
      <c r="E181" s="13" t="str">
        <f t="shared" si="38"/>
        <v>該当なし</v>
      </c>
      <c r="F181" s="14" t="str">
        <f t="shared" si="39"/>
        <v>該当なし</v>
      </c>
      <c r="G181" s="13" t="str">
        <f t="shared" si="40"/>
        <v>該当なし</v>
      </c>
      <c r="H181" s="14" t="str">
        <f t="shared" si="41"/>
        <v>該当なし</v>
      </c>
    </row>
    <row r="182" spans="1:8" ht="17">
      <c r="A182" s="11"/>
      <c r="B182" s="11" t="str">
        <f t="shared" si="35"/>
        <v>該当なし</v>
      </c>
      <c r="C182" s="11" t="str">
        <f t="shared" si="36"/>
        <v>該当なし</v>
      </c>
      <c r="D182" s="12" t="str">
        <f t="shared" si="37"/>
        <v>該当なし</v>
      </c>
      <c r="E182" s="13" t="str">
        <f t="shared" si="38"/>
        <v>該当なし</v>
      </c>
      <c r="F182" s="14" t="str">
        <f t="shared" si="39"/>
        <v>該当なし</v>
      </c>
      <c r="G182" s="13" t="str">
        <f t="shared" si="40"/>
        <v>該当なし</v>
      </c>
      <c r="H182" s="14" t="str">
        <f t="shared" si="41"/>
        <v>該当なし</v>
      </c>
    </row>
    <row r="183" spans="1:8" ht="17">
      <c r="A183" s="11"/>
      <c r="B183" s="11" t="str">
        <f t="shared" si="35"/>
        <v>該当なし</v>
      </c>
      <c r="C183" s="11" t="str">
        <f t="shared" si="36"/>
        <v>該当なし</v>
      </c>
      <c r="D183" s="12" t="str">
        <f t="shared" si="37"/>
        <v>該当なし</v>
      </c>
      <c r="E183" s="13" t="str">
        <f t="shared" si="38"/>
        <v>該当なし</v>
      </c>
      <c r="F183" s="14" t="str">
        <f t="shared" si="39"/>
        <v>該当なし</v>
      </c>
      <c r="G183" s="13" t="str">
        <f t="shared" si="40"/>
        <v>該当なし</v>
      </c>
      <c r="H183" s="14" t="str">
        <f t="shared" si="41"/>
        <v>該当なし</v>
      </c>
    </row>
    <row r="184" spans="1:8" ht="17">
      <c r="A184" s="11"/>
      <c r="B184" s="11" t="str">
        <f t="shared" si="35"/>
        <v>該当なし</v>
      </c>
      <c r="C184" s="11" t="str">
        <f t="shared" si="36"/>
        <v>該当なし</v>
      </c>
      <c r="D184" s="12" t="str">
        <f t="shared" si="37"/>
        <v>該当なし</v>
      </c>
      <c r="E184" s="13" t="str">
        <f t="shared" si="38"/>
        <v>該当なし</v>
      </c>
      <c r="F184" s="14" t="str">
        <f t="shared" si="39"/>
        <v>該当なし</v>
      </c>
      <c r="G184" s="13" t="str">
        <f t="shared" si="40"/>
        <v>該当なし</v>
      </c>
      <c r="H184" s="14" t="str">
        <f t="shared" si="41"/>
        <v>該当なし</v>
      </c>
    </row>
    <row r="185" spans="1:8" ht="17">
      <c r="A185" s="11"/>
      <c r="B185" s="11" t="str">
        <f t="shared" si="35"/>
        <v>該当なし</v>
      </c>
      <c r="C185" s="11" t="str">
        <f t="shared" si="36"/>
        <v>該当なし</v>
      </c>
      <c r="D185" s="12" t="str">
        <f t="shared" si="37"/>
        <v>該当なし</v>
      </c>
      <c r="E185" s="13" t="str">
        <f t="shared" si="38"/>
        <v>該当なし</v>
      </c>
      <c r="F185" s="14" t="str">
        <f t="shared" si="39"/>
        <v>該当なし</v>
      </c>
      <c r="G185" s="13" t="str">
        <f t="shared" si="40"/>
        <v>該当なし</v>
      </c>
      <c r="H185" s="14" t="str">
        <f t="shared" si="41"/>
        <v>該当なし</v>
      </c>
    </row>
    <row r="186" spans="1:8" ht="17">
      <c r="A186" s="11"/>
      <c r="B186" s="11" t="str">
        <f t="shared" si="35"/>
        <v>該当なし</v>
      </c>
      <c r="C186" s="11" t="str">
        <f t="shared" si="36"/>
        <v>該当なし</v>
      </c>
      <c r="D186" s="12" t="str">
        <f t="shared" si="37"/>
        <v>該当なし</v>
      </c>
      <c r="E186" s="13" t="str">
        <f t="shared" si="38"/>
        <v>該当なし</v>
      </c>
      <c r="F186" s="14" t="str">
        <f t="shared" si="39"/>
        <v>該当なし</v>
      </c>
      <c r="G186" s="13" t="str">
        <f t="shared" si="40"/>
        <v>該当なし</v>
      </c>
      <c r="H186" s="14" t="str">
        <f t="shared" si="41"/>
        <v>該当なし</v>
      </c>
    </row>
    <row r="187" spans="1:8" ht="17">
      <c r="A187" s="11"/>
      <c r="B187" s="11" t="str">
        <f t="shared" si="35"/>
        <v>該当なし</v>
      </c>
      <c r="C187" s="11" t="str">
        <f t="shared" si="36"/>
        <v>該当なし</v>
      </c>
      <c r="D187" s="12" t="str">
        <f t="shared" si="37"/>
        <v>該当なし</v>
      </c>
      <c r="E187" s="13" t="str">
        <f t="shared" si="38"/>
        <v>該当なし</v>
      </c>
      <c r="F187" s="14" t="str">
        <f t="shared" si="39"/>
        <v>該当なし</v>
      </c>
      <c r="G187" s="13" t="str">
        <f t="shared" si="40"/>
        <v>該当なし</v>
      </c>
      <c r="H187" s="14" t="str">
        <f t="shared" si="41"/>
        <v>該当なし</v>
      </c>
    </row>
    <row r="188" spans="1:8" ht="17">
      <c r="A188" s="11"/>
      <c r="B188" s="11" t="str">
        <f t="shared" si="35"/>
        <v>該当なし</v>
      </c>
      <c r="C188" s="11" t="str">
        <f t="shared" si="36"/>
        <v>該当なし</v>
      </c>
      <c r="D188" s="12" t="str">
        <f t="shared" si="37"/>
        <v>該当なし</v>
      </c>
      <c r="E188" s="13" t="str">
        <f t="shared" si="38"/>
        <v>該当なし</v>
      </c>
      <c r="F188" s="14" t="str">
        <f t="shared" si="39"/>
        <v>該当なし</v>
      </c>
      <c r="G188" s="13" t="str">
        <f t="shared" si="40"/>
        <v>該当なし</v>
      </c>
      <c r="H188" s="14" t="str">
        <f t="shared" si="41"/>
        <v>該当なし</v>
      </c>
    </row>
    <row r="189" spans="1:8" ht="17">
      <c r="A189" s="11"/>
      <c r="B189" s="11" t="str">
        <f t="shared" si="35"/>
        <v>該当なし</v>
      </c>
      <c r="C189" s="11" t="str">
        <f t="shared" si="36"/>
        <v>該当なし</v>
      </c>
      <c r="D189" s="12" t="str">
        <f t="shared" si="37"/>
        <v>該当なし</v>
      </c>
      <c r="E189" s="13" t="str">
        <f t="shared" si="38"/>
        <v>該当なし</v>
      </c>
      <c r="F189" s="14" t="str">
        <f t="shared" si="39"/>
        <v>該当なし</v>
      </c>
      <c r="G189" s="13" t="str">
        <f t="shared" si="40"/>
        <v>該当なし</v>
      </c>
      <c r="H189" s="14" t="str">
        <f t="shared" si="41"/>
        <v>該当なし</v>
      </c>
    </row>
    <row r="190" spans="1:8" ht="17">
      <c r="A190" s="11"/>
      <c r="B190" s="11" t="str">
        <f t="shared" si="35"/>
        <v>該当なし</v>
      </c>
      <c r="C190" s="11" t="str">
        <f t="shared" si="36"/>
        <v>該当なし</v>
      </c>
      <c r="D190" s="12" t="str">
        <f t="shared" si="37"/>
        <v>該当なし</v>
      </c>
      <c r="E190" s="13" t="str">
        <f t="shared" si="38"/>
        <v>該当なし</v>
      </c>
      <c r="F190" s="14" t="str">
        <f t="shared" si="39"/>
        <v>該当なし</v>
      </c>
      <c r="G190" s="13" t="str">
        <f t="shared" si="40"/>
        <v>該当なし</v>
      </c>
      <c r="H190" s="14" t="str">
        <f t="shared" si="41"/>
        <v>該当なし</v>
      </c>
    </row>
    <row r="191" spans="1:8" ht="17">
      <c r="A191" s="11"/>
      <c r="B191" s="11" t="str">
        <f t="shared" si="35"/>
        <v>該当なし</v>
      </c>
      <c r="C191" s="11" t="str">
        <f t="shared" si="36"/>
        <v>該当なし</v>
      </c>
      <c r="D191" s="12" t="str">
        <f t="shared" si="37"/>
        <v>該当なし</v>
      </c>
      <c r="E191" s="13" t="str">
        <f t="shared" si="38"/>
        <v>該当なし</v>
      </c>
      <c r="F191" s="14" t="str">
        <f t="shared" si="39"/>
        <v>該当なし</v>
      </c>
      <c r="G191" s="13" t="str">
        <f t="shared" si="40"/>
        <v>該当なし</v>
      </c>
      <c r="H191" s="14" t="str">
        <f t="shared" si="41"/>
        <v>該当なし</v>
      </c>
    </row>
    <row r="192" spans="1:8" ht="17">
      <c r="A192" s="11"/>
      <c r="B192" s="11" t="str">
        <f t="shared" si="35"/>
        <v>該当なし</v>
      </c>
      <c r="C192" s="11" t="str">
        <f t="shared" si="36"/>
        <v>該当なし</v>
      </c>
      <c r="D192" s="12" t="str">
        <f t="shared" si="37"/>
        <v>該当なし</v>
      </c>
      <c r="E192" s="13" t="str">
        <f t="shared" si="38"/>
        <v>該当なし</v>
      </c>
      <c r="F192" s="14" t="str">
        <f t="shared" si="39"/>
        <v>該当なし</v>
      </c>
      <c r="G192" s="13" t="str">
        <f t="shared" si="40"/>
        <v>該当なし</v>
      </c>
      <c r="H192" s="14" t="str">
        <f t="shared" si="41"/>
        <v>該当なし</v>
      </c>
    </row>
    <row r="193" spans="1:8" ht="17">
      <c r="A193" s="11"/>
      <c r="B193" s="11" t="str">
        <f t="shared" si="35"/>
        <v>該当なし</v>
      </c>
      <c r="C193" s="11" t="str">
        <f t="shared" si="36"/>
        <v>該当なし</v>
      </c>
      <c r="D193" s="12" t="str">
        <f t="shared" si="37"/>
        <v>該当なし</v>
      </c>
      <c r="E193" s="13" t="str">
        <f t="shared" si="38"/>
        <v>該当なし</v>
      </c>
      <c r="F193" s="14" t="str">
        <f t="shared" si="39"/>
        <v>該当なし</v>
      </c>
      <c r="G193" s="13" t="str">
        <f t="shared" si="40"/>
        <v>該当なし</v>
      </c>
      <c r="H193" s="14" t="str">
        <f t="shared" si="41"/>
        <v>該当なし</v>
      </c>
    </row>
    <row r="194" spans="1:8" ht="17">
      <c r="A194" s="11"/>
      <c r="B194" s="11" t="str">
        <f t="shared" ref="B194:B201" si="42">IF(MID(A194,1,5)="80-50","DH26050758-50",IF(MID(A194,1,5)="84-12","CE26042384-12",IF(MID(A194,1,5)="84-50","DCH003484-50","該当なし")))</f>
        <v>該当なし</v>
      </c>
      <c r="C194" s="11" t="str">
        <f t="shared" ref="C194:C201" si="43">IF(MID(A194,6,2)="TE","Top Edge",IF(MID(A194,6,2)="BM","Bottom Middle",IF(MID(A194,6,2)="Ct","Center",IF(MID(A194,6,2)="LE","Left Edge",IF(MID(A194,6,2)="RE","Right Edge","該当なし")))))</f>
        <v>該当なし</v>
      </c>
      <c r="D194" s="12" t="str">
        <f t="shared" ref="D194:D201" si="44">IFERROR(MID(A194,8,2)*1,"該当なし")</f>
        <v>該当なし</v>
      </c>
      <c r="E194" s="13" t="str">
        <f t="shared" ref="E194:E201" si="45">IFERROR(IF(MID(A194,FIND("_",A194)+1,1)="h","ヒゲ",IF(MID(A194,FIND("_",A194)+1,1)="b","バリ","該当なし")),"該当なし")</f>
        <v>該当なし</v>
      </c>
      <c r="F194" s="14" t="str">
        <f t="shared" ref="F194:F201" si="46">IFERROR(MID(A194,FIND("_",A194)+2,FIND("um｜",A194)-FIND("_",A194)-2)*1,"該当なし")</f>
        <v>該当なし</v>
      </c>
      <c r="G194" s="13" t="str">
        <f t="shared" ref="G194:G201" si="47">IFERROR(IF(MID(A194,FIND("｜",A194)+1,1)="h","ヒゲ",IF(MID(A194,FIND("｜",A194)+1,1)="b","バリ","該当なし")),"該当なし")</f>
        <v>該当なし</v>
      </c>
      <c r="H194" s="14" t="str">
        <f t="shared" ref="H194:H201" si="48">IFERROR(MID(A194,FIND("｜",A194)+2,FIND("um.jpg",A194)-FIND("｜",A194)-2)*1,"該当なし")</f>
        <v>該当なし</v>
      </c>
    </row>
    <row r="195" spans="1:8" ht="17">
      <c r="A195" s="11"/>
      <c r="B195" s="11" t="str">
        <f t="shared" si="42"/>
        <v>該当なし</v>
      </c>
      <c r="C195" s="11" t="str">
        <f t="shared" si="43"/>
        <v>該当なし</v>
      </c>
      <c r="D195" s="12" t="str">
        <f t="shared" si="44"/>
        <v>該当なし</v>
      </c>
      <c r="E195" s="13" t="str">
        <f t="shared" si="45"/>
        <v>該当なし</v>
      </c>
      <c r="F195" s="14" t="str">
        <f t="shared" si="46"/>
        <v>該当なし</v>
      </c>
      <c r="G195" s="13" t="str">
        <f t="shared" si="47"/>
        <v>該当なし</v>
      </c>
      <c r="H195" s="14" t="str">
        <f t="shared" si="48"/>
        <v>該当なし</v>
      </c>
    </row>
    <row r="196" spans="1:8" ht="17">
      <c r="A196" s="11"/>
      <c r="B196" s="11" t="str">
        <f t="shared" si="42"/>
        <v>該当なし</v>
      </c>
      <c r="C196" s="11" t="str">
        <f t="shared" si="43"/>
        <v>該当なし</v>
      </c>
      <c r="D196" s="12" t="str">
        <f t="shared" si="44"/>
        <v>該当なし</v>
      </c>
      <c r="E196" s="13" t="str">
        <f t="shared" si="45"/>
        <v>該当なし</v>
      </c>
      <c r="F196" s="14" t="str">
        <f t="shared" si="46"/>
        <v>該当なし</v>
      </c>
      <c r="G196" s="13" t="str">
        <f t="shared" si="47"/>
        <v>該当なし</v>
      </c>
      <c r="H196" s="14" t="str">
        <f t="shared" si="48"/>
        <v>該当なし</v>
      </c>
    </row>
    <row r="197" spans="1:8" ht="17">
      <c r="A197" s="11"/>
      <c r="B197" s="11" t="str">
        <f t="shared" si="42"/>
        <v>該当なし</v>
      </c>
      <c r="C197" s="11" t="str">
        <f t="shared" si="43"/>
        <v>該当なし</v>
      </c>
      <c r="D197" s="12" t="str">
        <f t="shared" si="44"/>
        <v>該当なし</v>
      </c>
      <c r="E197" s="13" t="str">
        <f t="shared" si="45"/>
        <v>該当なし</v>
      </c>
      <c r="F197" s="14" t="str">
        <f t="shared" si="46"/>
        <v>該当なし</v>
      </c>
      <c r="G197" s="13" t="str">
        <f t="shared" si="47"/>
        <v>該当なし</v>
      </c>
      <c r="H197" s="14" t="str">
        <f t="shared" si="48"/>
        <v>該当なし</v>
      </c>
    </row>
    <row r="198" spans="1:8" ht="17">
      <c r="A198" s="11"/>
      <c r="B198" s="11" t="str">
        <f t="shared" si="42"/>
        <v>該当なし</v>
      </c>
      <c r="C198" s="11" t="str">
        <f t="shared" si="43"/>
        <v>該当なし</v>
      </c>
      <c r="D198" s="12" t="str">
        <f t="shared" si="44"/>
        <v>該当なし</v>
      </c>
      <c r="E198" s="13" t="str">
        <f t="shared" si="45"/>
        <v>該当なし</v>
      </c>
      <c r="F198" s="14" t="str">
        <f t="shared" si="46"/>
        <v>該当なし</v>
      </c>
      <c r="G198" s="13" t="str">
        <f t="shared" si="47"/>
        <v>該当なし</v>
      </c>
      <c r="H198" s="14" t="str">
        <f t="shared" si="48"/>
        <v>該当なし</v>
      </c>
    </row>
    <row r="199" spans="1:8" ht="17">
      <c r="A199" s="11"/>
      <c r="B199" s="11" t="str">
        <f t="shared" si="42"/>
        <v>該当なし</v>
      </c>
      <c r="C199" s="11" t="str">
        <f t="shared" si="43"/>
        <v>該当なし</v>
      </c>
      <c r="D199" s="12" t="str">
        <f t="shared" si="44"/>
        <v>該当なし</v>
      </c>
      <c r="E199" s="13" t="str">
        <f t="shared" si="45"/>
        <v>該当なし</v>
      </c>
      <c r="F199" s="14" t="str">
        <f t="shared" si="46"/>
        <v>該当なし</v>
      </c>
      <c r="G199" s="13" t="str">
        <f t="shared" si="47"/>
        <v>該当なし</v>
      </c>
      <c r="H199" s="14" t="str">
        <f t="shared" si="48"/>
        <v>該当なし</v>
      </c>
    </row>
    <row r="200" spans="1:8" ht="17">
      <c r="A200" s="11"/>
      <c r="B200" s="11" t="str">
        <f t="shared" si="42"/>
        <v>該当なし</v>
      </c>
      <c r="C200" s="11" t="str">
        <f t="shared" si="43"/>
        <v>該当なし</v>
      </c>
      <c r="D200" s="12" t="str">
        <f t="shared" si="44"/>
        <v>該当なし</v>
      </c>
      <c r="E200" s="13" t="str">
        <f t="shared" si="45"/>
        <v>該当なし</v>
      </c>
      <c r="F200" s="14" t="str">
        <f t="shared" si="46"/>
        <v>該当なし</v>
      </c>
      <c r="G200" s="13" t="str">
        <f t="shared" si="47"/>
        <v>該当なし</v>
      </c>
      <c r="H200" s="14" t="str">
        <f t="shared" si="48"/>
        <v>該当なし</v>
      </c>
    </row>
    <row r="201" spans="1:8" ht="17">
      <c r="A201" s="11"/>
      <c r="B201" s="11" t="str">
        <f t="shared" si="42"/>
        <v>該当なし</v>
      </c>
      <c r="C201" s="11" t="str">
        <f t="shared" si="43"/>
        <v>該当なし</v>
      </c>
      <c r="D201" s="12" t="str">
        <f t="shared" si="44"/>
        <v>該当なし</v>
      </c>
      <c r="E201" s="13" t="str">
        <f t="shared" si="45"/>
        <v>該当なし</v>
      </c>
      <c r="F201" s="14" t="str">
        <f t="shared" si="46"/>
        <v>該当なし</v>
      </c>
      <c r="G201" s="13" t="str">
        <f t="shared" si="47"/>
        <v>該当なし</v>
      </c>
      <c r="H201" s="14" t="str">
        <f t="shared" si="48"/>
        <v>該当なし</v>
      </c>
    </row>
  </sheetData>
  <phoneticPr fontId="6"/>
  <conditionalFormatting sqref="B2:B201">
    <cfRule type="expression" dxfId="6" priority="1">
      <formula>$B2="該当なし"</formula>
    </cfRule>
  </conditionalFormatting>
  <conditionalFormatting sqref="C2:C201">
    <cfRule type="expression" dxfId="5" priority="2">
      <formula>$C2="該当なし"</formula>
    </cfRule>
  </conditionalFormatting>
  <conditionalFormatting sqref="D2:D201">
    <cfRule type="expression" dxfId="4" priority="3">
      <formula>$D2="該当なし"</formula>
    </cfRule>
  </conditionalFormatting>
  <conditionalFormatting sqref="E2:E201">
    <cfRule type="expression" dxfId="3" priority="4">
      <formula>$E2="該当なし"</formula>
    </cfRule>
  </conditionalFormatting>
  <conditionalFormatting sqref="F2:F201">
    <cfRule type="expression" dxfId="2" priority="5">
      <formula>$F2="該当なし"</formula>
    </cfRule>
  </conditionalFormatting>
  <conditionalFormatting sqref="G2:G201">
    <cfRule type="expression" dxfId="1" priority="6">
      <formula>$G2="該当なし"</formula>
    </cfRule>
  </conditionalFormatting>
  <conditionalFormatting sqref="H2:H201">
    <cfRule type="expression" dxfId="0" priority="7">
      <formula>$H2="該当なし"</formula>
    </cfRule>
  </conditionalFormatting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操作</vt:lpstr>
      <vt:lpstr>filelist</vt:lpstr>
      <vt:lpstr>バリ測定変換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佳明 福士</cp:lastModifiedBy>
  <dcterms:created xsi:type="dcterms:W3CDTF">2026-03-15T02:22:39Z</dcterms:created>
  <dcterms:modified xsi:type="dcterms:W3CDTF">2026-04-19T03:48:35Z</dcterms:modified>
</cp:coreProperties>
</file>